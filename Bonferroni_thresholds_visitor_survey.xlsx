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newcastle-my.sharepoint.com/personal/c2051290_newcastle_ac_uk/Documents/NCLU/PhD/My PhD/04 Visitor Survey/Tabulated results CL/"/>
    </mc:Choice>
  </mc:AlternateContent>
  <xr:revisionPtr revIDLastSave="2" documentId="11_FA85DA9AE0796EDBC12244EF0DACD0BD93D8B939" xr6:coauthVersionLast="47" xr6:coauthVersionMax="47" xr10:uidLastSave="{5C8F0C5A-AB3A-4969-8402-37A104595AE0}"/>
  <bookViews>
    <workbookView xWindow="-120" yWindow="-120" windowWidth="29040" windowHeight="15720" tabRatio="500" xr2:uid="{00000000-000D-0000-FFFF-FFFF00000000}"/>
  </bookViews>
  <sheets>
    <sheet name="Thresholds" sheetId="1" r:id="rId1"/>
    <sheet name="Test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9" i="2" l="1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B9" i="1"/>
  <c r="C9" i="1" s="1"/>
  <c r="B8" i="1"/>
  <c r="D8" i="1" s="1"/>
  <c r="B7" i="1"/>
  <c r="C7" i="1" s="1"/>
  <c r="B6" i="1"/>
  <c r="C6" i="1" s="1"/>
  <c r="E9" i="1" l="1"/>
  <c r="F19" i="2"/>
  <c r="G19" i="2" s="1"/>
  <c r="F18" i="2"/>
  <c r="G18" i="2" s="1"/>
  <c r="F17" i="2"/>
  <c r="G17" i="2" s="1"/>
  <c r="F16" i="2"/>
  <c r="G16" i="2" s="1"/>
  <c r="D9" i="1"/>
  <c r="F11" i="2"/>
  <c r="G11" i="2" s="1"/>
  <c r="F10" i="2"/>
  <c r="G10" i="2" s="1"/>
  <c r="E7" i="1"/>
  <c r="F9" i="2"/>
  <c r="G9" i="2" s="1"/>
  <c r="F12" i="2"/>
  <c r="G12" i="2" s="1"/>
  <c r="F7" i="2"/>
  <c r="G7" i="2" s="1"/>
  <c r="F6" i="2"/>
  <c r="G6" i="2" s="1"/>
  <c r="E6" i="1"/>
  <c r="F8" i="2"/>
  <c r="G8" i="2" s="1"/>
  <c r="F5" i="2"/>
  <c r="G5" i="2" s="1"/>
  <c r="D6" i="1"/>
  <c r="D7" i="1"/>
  <c r="C8" i="1"/>
  <c r="E8" i="1" l="1"/>
  <c r="F13" i="2"/>
  <c r="G13" i="2" s="1"/>
  <c r="F14" i="2"/>
  <c r="G14" i="2" s="1"/>
  <c r="F15" i="2"/>
  <c r="G1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6" authorId="0" shapeId="0" xr:uid="{00000000-0006-0000-0100-000001000000}">
      <text>
        <r>
          <rPr>
            <sz val="10"/>
            <rFont val="Arial"/>
            <family val="2"/>
          </rPr>
          <t>Reported as &lt; 0.001; exact value not recorded. 0.001 used as an upper bound.</t>
        </r>
      </text>
    </comment>
  </commentList>
</comments>
</file>

<file path=xl/sharedStrings.xml><?xml version="1.0" encoding="utf-8"?>
<sst xmlns="http://schemas.openxmlformats.org/spreadsheetml/2006/main" count="88" uniqueCount="49">
  <si>
    <t>Bonferroni thresholds – visitor survey tests</t>
  </si>
  <si>
    <t>Usual significance level (alpha)</t>
  </si>
  <si>
    <t>Input: change this cell and every threshold updates.</t>
  </si>
  <si>
    <t>Test group</t>
  </si>
  <si>
    <t>Number of tests</t>
  </si>
  <si>
    <t>Bonferroni threshold (alpha ÷ tests)</t>
  </si>
  <si>
    <t>Chance of at least one false alarm WITHOUT correction</t>
  </si>
  <si>
    <t>Chance of at least one false alarm WITH correction</t>
  </si>
  <si>
    <t>Binomial</t>
  </si>
  <si>
    <t>Spearman</t>
  </si>
  <si>
    <t>McNemar</t>
  </si>
  <si>
    <t>First-place chi-square (supplementary)</t>
  </si>
  <si>
    <t>How to read this sheet</t>
  </si>
  <si>
    <t>The usual cut-off (p &lt; 0.05) accepts a 5% risk that a single result is a false alarm, i.e. chance producing what looks like an effect.</t>
  </si>
  <si>
    <t>When several related tests are run, those risks add up (column D). With four tests at 0.05 each, the chance of at least one false alarm is about 19%.</t>
  </si>
  <si>
    <t>The Bonferroni correction divides 0.05 by the number of tests in the group (column C), so the group as a whole stays at about 5% (column E).</t>
  </si>
  <si>
    <t>The correction is conservative: it slightly raises the chance of missing a real but small effect.</t>
  </si>
  <si>
    <t>Number of tests (column B) is counted from the Tests sheet, so adding or removing a test updates the threshold.</t>
  </si>
  <si>
    <t>Each test against its group threshold</t>
  </si>
  <si>
    <t>Question / pair</t>
  </si>
  <si>
    <t>Appendix table</t>
  </si>
  <si>
    <t>p-value as reported</t>
  </si>
  <si>
    <t>p-value used for comparison</t>
  </si>
  <si>
    <t>Group threshold</t>
  </si>
  <si>
    <t>Clear effect after correction?</t>
  </si>
  <si>
    <t>Below 0.05 without correction?</t>
  </si>
  <si>
    <t>Q3: S1 v S4</t>
  </si>
  <si>
    <t>A2</t>
  </si>
  <si>
    <t>&lt; 0.001</t>
  </si>
  <si>
    <t>Q4: S3 v S2</t>
  </si>
  <si>
    <t>Q7: S5 v S6</t>
  </si>
  <si>
    <t>0.26</t>
  </si>
  <si>
    <t>Q9: S8 v S7</t>
  </si>
  <si>
    <t>0.21</t>
  </si>
  <si>
    <t>Q3</t>
  </si>
  <si>
    <t>A3</t>
  </si>
  <si>
    <t>Q4</t>
  </si>
  <si>
    <t>0.002</t>
  </si>
  <si>
    <t>Q7</t>
  </si>
  <si>
    <t>Q9</t>
  </si>
  <si>
    <t>S1 v S4</t>
  </si>
  <si>
    <t>A4</t>
  </si>
  <si>
    <t>S3 v S2</t>
  </si>
  <si>
    <t>S5 v S6</t>
  </si>
  <si>
    <t>0.08</t>
  </si>
  <si>
    <t>A5</t>
  </si>
  <si>
    <t>0.053</t>
  </si>
  <si>
    <t>0.043</t>
  </si>
  <si>
    <t>Where only "&lt; 0.001" was reported, 0.001 is used as an upper bound; any such result passes every threshold 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</si>
</sst>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8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i/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A5A78"/>
        <bgColor rgb="FF3333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2" fontId="3" fillId="2" borderId="0" xfId="0" applyNumberFormat="1" applyFont="1" applyFill="1"/>
    <xf numFmtId="0" fontId="4" fillId="0" borderId="0" xfId="0" applyFont="1"/>
    <xf numFmtId="0" fontId="5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164" fontId="6" fillId="0" borderId="1" xfId="0" applyNumberFormat="1" applyFont="1" applyBorder="1" applyAlignment="1">
      <alignment vertical="top" wrapText="1"/>
    </xf>
    <xf numFmtId="165" fontId="6" fillId="0" borderId="1" xfId="0" applyNumberFormat="1" applyFont="1" applyBorder="1" applyAlignment="1">
      <alignment vertical="top" wrapText="1"/>
    </xf>
    <xf numFmtId="0" fontId="6" fillId="0" borderId="0" xfId="0" applyFont="1"/>
    <xf numFmtId="0" fontId="3" fillId="0" borderId="1" xfId="0" applyFont="1" applyBorder="1" applyAlignment="1">
      <alignment vertical="top" wrapText="1"/>
    </xf>
    <xf numFmtId="11" fontId="3" fillId="0" borderId="1" xfId="0" applyNumberFormat="1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A5A7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zoomScaleNormal="100" workbookViewId="0"/>
  </sheetViews>
  <sheetFormatPr defaultColWidth="8.7109375" defaultRowHeight="15" x14ac:dyDescent="0.25"/>
  <cols>
    <col min="1" max="1" width="38" customWidth="1"/>
    <col min="2" max="2" width="16" customWidth="1"/>
    <col min="3" max="3" width="22" customWidth="1"/>
    <col min="4" max="5" width="26" customWidth="1"/>
  </cols>
  <sheetData>
    <row r="1" spans="1:5" ht="15.75" x14ac:dyDescent="0.25">
      <c r="A1" s="2" t="s">
        <v>0</v>
      </c>
    </row>
    <row r="3" spans="1:5" x14ac:dyDescent="0.25">
      <c r="A3" s="3" t="s">
        <v>1</v>
      </c>
      <c r="B3" s="4">
        <v>0.05</v>
      </c>
      <c r="C3" s="5" t="s">
        <v>2</v>
      </c>
    </row>
    <row r="5" spans="1:5" ht="45" customHeight="1" x14ac:dyDescent="0.25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</row>
    <row r="6" spans="1:5" x14ac:dyDescent="0.25">
      <c r="A6" s="7" t="s">
        <v>8</v>
      </c>
      <c r="B6" s="7">
        <f>COUNTIF(Tests!$A$5:$A$30,A6)</f>
        <v>4</v>
      </c>
      <c r="C6" s="8">
        <f>$B$3/B6</f>
        <v>1.2500000000000001E-2</v>
      </c>
      <c r="D6" s="9">
        <f>1-(1-$B$3)^B6</f>
        <v>0.18549375000000001</v>
      </c>
      <c r="E6" s="9">
        <f>1-(1-C6)^B6</f>
        <v>4.9070288085937386E-2</v>
      </c>
    </row>
    <row r="7" spans="1:5" x14ac:dyDescent="0.25">
      <c r="A7" s="7" t="s">
        <v>9</v>
      </c>
      <c r="B7" s="7">
        <f>COUNTIF(Tests!$A$5:$A$30,A7)</f>
        <v>4</v>
      </c>
      <c r="C7" s="8">
        <f>$B$3/B7</f>
        <v>1.2500000000000001E-2</v>
      </c>
      <c r="D7" s="9">
        <f>1-(1-$B$3)^B7</f>
        <v>0.18549375000000001</v>
      </c>
      <c r="E7" s="9">
        <f>1-(1-C7)^B7</f>
        <v>4.9070288085937386E-2</v>
      </c>
    </row>
    <row r="8" spans="1:5" x14ac:dyDescent="0.25">
      <c r="A8" s="7" t="s">
        <v>10</v>
      </c>
      <c r="B8" s="7">
        <f>COUNTIF(Tests!$A$5:$A$30,A8)</f>
        <v>3</v>
      </c>
      <c r="C8" s="8">
        <f>$B$3/B8</f>
        <v>1.6666666666666666E-2</v>
      </c>
      <c r="D8" s="9">
        <f>1-(1-$B$3)^B8</f>
        <v>0.14262500000000011</v>
      </c>
      <c r="E8" s="9">
        <f>1-(1-C8)^B8</f>
        <v>4.9171296296296352E-2</v>
      </c>
    </row>
    <row r="9" spans="1:5" x14ac:dyDescent="0.25">
      <c r="A9" s="7" t="s">
        <v>11</v>
      </c>
      <c r="B9" s="7">
        <f>COUNTIF(Tests!$A$5:$A$30,A9)</f>
        <v>4</v>
      </c>
      <c r="C9" s="8">
        <f>$B$3/B9</f>
        <v>1.2500000000000001E-2</v>
      </c>
      <c r="D9" s="9">
        <f>1-(1-$B$3)^B9</f>
        <v>0.18549375000000001</v>
      </c>
      <c r="E9" s="9">
        <f>1-(1-C9)^B9</f>
        <v>4.9070288085937386E-2</v>
      </c>
    </row>
    <row r="12" spans="1:5" x14ac:dyDescent="0.25">
      <c r="A12" s="3" t="s">
        <v>12</v>
      </c>
    </row>
    <row r="13" spans="1:5" x14ac:dyDescent="0.25">
      <c r="A13" s="10" t="s">
        <v>13</v>
      </c>
    </row>
    <row r="14" spans="1:5" x14ac:dyDescent="0.25">
      <c r="A14" s="10" t="s">
        <v>14</v>
      </c>
    </row>
    <row r="15" spans="1:5" x14ac:dyDescent="0.25">
      <c r="A15" s="10" t="s">
        <v>15</v>
      </c>
    </row>
    <row r="16" spans="1:5" x14ac:dyDescent="0.25">
      <c r="A16" s="10" t="s">
        <v>16</v>
      </c>
    </row>
    <row r="17" spans="1:1" x14ac:dyDescent="0.25">
      <c r="A17" s="10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zoomScaleNormal="100" workbookViewId="0">
      <pane ySplit="4" topLeftCell="A5" activePane="bottomLeft" state="frozen"/>
      <selection pane="bottomLeft" activeCell="C27" sqref="C27"/>
    </sheetView>
  </sheetViews>
  <sheetFormatPr defaultColWidth="8.7109375" defaultRowHeight="15" x14ac:dyDescent="0.25"/>
  <cols>
    <col min="1" max="1" width="34" customWidth="1"/>
    <col min="2" max="2" width="14" customWidth="1"/>
    <col min="3" max="3" width="10" customWidth="1"/>
    <col min="4" max="4" width="14" customWidth="1"/>
    <col min="5" max="5" width="16" customWidth="1"/>
    <col min="6" max="6" width="12" customWidth="1"/>
    <col min="7" max="8" width="16" customWidth="1"/>
  </cols>
  <sheetData>
    <row r="1" spans="1:8" ht="15.75" x14ac:dyDescent="0.25">
      <c r="A1" s="2" t="s">
        <v>18</v>
      </c>
    </row>
    <row r="2" spans="1:8" ht="42" customHeight="1" x14ac:dyDescent="0.25">
      <c r="A2" s="1" t="s">
        <v>48</v>
      </c>
      <c r="B2" s="1"/>
      <c r="C2" s="1"/>
      <c r="D2" s="1"/>
      <c r="E2" s="1"/>
      <c r="F2" s="1"/>
      <c r="G2" s="1"/>
      <c r="H2" s="1"/>
    </row>
    <row r="4" spans="1:8" ht="45" customHeight="1" x14ac:dyDescent="0.25">
      <c r="A4" s="6" t="s">
        <v>3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</row>
    <row r="5" spans="1:8" x14ac:dyDescent="0.25">
      <c r="A5" s="7" t="s">
        <v>8</v>
      </c>
      <c r="B5" s="7" t="s">
        <v>26</v>
      </c>
      <c r="C5" s="7" t="s">
        <v>27</v>
      </c>
      <c r="D5" s="11" t="s">
        <v>28</v>
      </c>
      <c r="E5" s="12">
        <v>5.8799999999999997E-19</v>
      </c>
      <c r="F5" s="8">
        <f>INDEX(Thresholds!$C$6:$C$9,MATCH(A5,Thresholds!$A$6:$A$9,0))</f>
        <v>1.2500000000000001E-2</v>
      </c>
      <c r="G5" s="7" t="str">
        <f t="shared" ref="G5:G19" si="0">IF(E5&lt;F5,"Yes","No")</f>
        <v>Yes</v>
      </c>
      <c r="H5" s="7" t="str">
        <f>IF(E5&lt;Thresholds!$B$3,"Yes","No")</f>
        <v>Yes</v>
      </c>
    </row>
    <row r="6" spans="1:8" x14ac:dyDescent="0.25">
      <c r="A6" s="7" t="s">
        <v>8</v>
      </c>
      <c r="B6" s="7" t="s">
        <v>29</v>
      </c>
      <c r="C6" s="7" t="s">
        <v>27</v>
      </c>
      <c r="D6" s="11" t="s">
        <v>28</v>
      </c>
      <c r="E6" s="13">
        <v>1E-3</v>
      </c>
      <c r="F6" s="8">
        <f>INDEX(Thresholds!$C$6:$C$9,MATCH(A6,Thresholds!$A$6:$A$9,0))</f>
        <v>1.2500000000000001E-2</v>
      </c>
      <c r="G6" s="7" t="str">
        <f t="shared" si="0"/>
        <v>Yes</v>
      </c>
      <c r="H6" s="7" t="str">
        <f>IF(E6&lt;Thresholds!$B$3,"Yes","No")</f>
        <v>Yes</v>
      </c>
    </row>
    <row r="7" spans="1:8" x14ac:dyDescent="0.25">
      <c r="A7" s="7" t="s">
        <v>8</v>
      </c>
      <c r="B7" s="7" t="s">
        <v>30</v>
      </c>
      <c r="C7" s="7" t="s">
        <v>27</v>
      </c>
      <c r="D7" s="11" t="s">
        <v>31</v>
      </c>
      <c r="E7" s="13">
        <v>0.26</v>
      </c>
      <c r="F7" s="8">
        <f>INDEX(Thresholds!$C$6:$C$9,MATCH(A7,Thresholds!$A$6:$A$9,0))</f>
        <v>1.2500000000000001E-2</v>
      </c>
      <c r="G7" s="7" t="str">
        <f t="shared" si="0"/>
        <v>No</v>
      </c>
      <c r="H7" s="7" t="str">
        <f>IF(E7&lt;Thresholds!$B$3,"Yes","No")</f>
        <v>No</v>
      </c>
    </row>
    <row r="8" spans="1:8" x14ac:dyDescent="0.25">
      <c r="A8" s="7" t="s">
        <v>8</v>
      </c>
      <c r="B8" s="7" t="s">
        <v>32</v>
      </c>
      <c r="C8" s="7" t="s">
        <v>27</v>
      </c>
      <c r="D8" s="11" t="s">
        <v>33</v>
      </c>
      <c r="E8" s="13">
        <v>0.21</v>
      </c>
      <c r="F8" s="8">
        <f>INDEX(Thresholds!$C$6:$C$9,MATCH(A8,Thresholds!$A$6:$A$9,0))</f>
        <v>1.2500000000000001E-2</v>
      </c>
      <c r="G8" s="7" t="str">
        <f t="shared" si="0"/>
        <v>No</v>
      </c>
      <c r="H8" s="7" t="str">
        <f>IF(E8&lt;Thresholds!$B$3,"Yes","No")</f>
        <v>No</v>
      </c>
    </row>
    <row r="9" spans="1:8" x14ac:dyDescent="0.25">
      <c r="A9" s="7" t="s">
        <v>9</v>
      </c>
      <c r="B9" s="7" t="s">
        <v>34</v>
      </c>
      <c r="C9" s="7" t="s">
        <v>35</v>
      </c>
      <c r="D9" s="11" t="s">
        <v>28</v>
      </c>
      <c r="E9" s="12">
        <v>1.4999999999999999E-4</v>
      </c>
      <c r="F9" s="8">
        <f>INDEX(Thresholds!$C$6:$C$9,MATCH(A9,Thresholds!$A$6:$A$9,0))</f>
        <v>1.2500000000000001E-2</v>
      </c>
      <c r="G9" s="7" t="str">
        <f t="shared" si="0"/>
        <v>Yes</v>
      </c>
      <c r="H9" s="7" t="str">
        <f>IF(E9&lt;Thresholds!$B$3,"Yes","No")</f>
        <v>Yes</v>
      </c>
    </row>
    <row r="10" spans="1:8" x14ac:dyDescent="0.25">
      <c r="A10" s="7" t="s">
        <v>9</v>
      </c>
      <c r="B10" s="7" t="s">
        <v>36</v>
      </c>
      <c r="C10" s="7" t="s">
        <v>35</v>
      </c>
      <c r="D10" s="11" t="s">
        <v>37</v>
      </c>
      <c r="E10" s="13">
        <v>2.3E-3</v>
      </c>
      <c r="F10" s="8">
        <f>INDEX(Thresholds!$C$6:$C$9,MATCH(A10,Thresholds!$A$6:$A$9,0))</f>
        <v>1.2500000000000001E-2</v>
      </c>
      <c r="G10" s="7" t="str">
        <f t="shared" si="0"/>
        <v>Yes</v>
      </c>
      <c r="H10" s="7" t="str">
        <f>IF(E10&lt;Thresholds!$B$3,"Yes","No")</f>
        <v>Yes</v>
      </c>
    </row>
    <row r="11" spans="1:8" x14ac:dyDescent="0.25">
      <c r="A11" s="7" t="s">
        <v>9</v>
      </c>
      <c r="B11" s="7" t="s">
        <v>38</v>
      </c>
      <c r="C11" s="7" t="s">
        <v>35</v>
      </c>
      <c r="D11" s="11" t="s">
        <v>28</v>
      </c>
      <c r="E11" s="12">
        <v>9.5999999999999999E-8</v>
      </c>
      <c r="F11" s="8">
        <f>INDEX(Thresholds!$C$6:$C$9,MATCH(A11,Thresholds!$A$6:$A$9,0))</f>
        <v>1.2500000000000001E-2</v>
      </c>
      <c r="G11" s="7" t="str">
        <f t="shared" si="0"/>
        <v>Yes</v>
      </c>
      <c r="H11" s="7" t="str">
        <f>IF(E11&lt;Thresholds!$B$3,"Yes","No")</f>
        <v>Yes</v>
      </c>
    </row>
    <row r="12" spans="1:8" x14ac:dyDescent="0.25">
      <c r="A12" s="7" t="s">
        <v>9</v>
      </c>
      <c r="B12" s="7" t="s">
        <v>39</v>
      </c>
      <c r="C12" s="7" t="s">
        <v>35</v>
      </c>
      <c r="D12" s="11" t="s">
        <v>28</v>
      </c>
      <c r="E12" s="12">
        <v>4.7E-7</v>
      </c>
      <c r="F12" s="8">
        <f>INDEX(Thresholds!$C$6:$C$9,MATCH(A12,Thresholds!$A$6:$A$9,0))</f>
        <v>1.2500000000000001E-2</v>
      </c>
      <c r="G12" s="7" t="str">
        <f t="shared" si="0"/>
        <v>Yes</v>
      </c>
      <c r="H12" s="7" t="str">
        <f>IF(E12&lt;Thresholds!$B$3,"Yes","No")</f>
        <v>Yes</v>
      </c>
    </row>
    <row r="13" spans="1:8" x14ac:dyDescent="0.25">
      <c r="A13" s="7" t="s">
        <v>10</v>
      </c>
      <c r="B13" s="7" t="s">
        <v>40</v>
      </c>
      <c r="C13" s="7" t="s">
        <v>41</v>
      </c>
      <c r="D13" s="11" t="s">
        <v>28</v>
      </c>
      <c r="E13" s="13">
        <v>1E-3</v>
      </c>
      <c r="F13" s="8">
        <f>INDEX(Thresholds!$C$6:$C$9,MATCH(A13,Thresholds!$A$6:$A$9,0))</f>
        <v>1.6666666666666666E-2</v>
      </c>
      <c r="G13" s="7" t="str">
        <f t="shared" si="0"/>
        <v>Yes</v>
      </c>
      <c r="H13" s="7" t="str">
        <f>IF(E13&lt;Thresholds!$B$3,"Yes","No")</f>
        <v>Yes</v>
      </c>
    </row>
    <row r="14" spans="1:8" x14ac:dyDescent="0.25">
      <c r="A14" s="7" t="s">
        <v>10</v>
      </c>
      <c r="B14" s="7" t="s">
        <v>42</v>
      </c>
      <c r="C14" s="7" t="s">
        <v>41</v>
      </c>
      <c r="D14" s="11" t="s">
        <v>28</v>
      </c>
      <c r="E14" s="13">
        <v>1E-3</v>
      </c>
      <c r="F14" s="8">
        <f>INDEX(Thresholds!$C$6:$C$9,MATCH(A14,Thresholds!$A$6:$A$9,0))</f>
        <v>1.6666666666666666E-2</v>
      </c>
      <c r="G14" s="7" t="str">
        <f t="shared" si="0"/>
        <v>Yes</v>
      </c>
      <c r="H14" s="7" t="str">
        <f>IF(E14&lt;Thresholds!$B$3,"Yes","No")</f>
        <v>Yes</v>
      </c>
    </row>
    <row r="15" spans="1:8" x14ac:dyDescent="0.25">
      <c r="A15" s="7" t="s">
        <v>10</v>
      </c>
      <c r="B15" s="7" t="s">
        <v>43</v>
      </c>
      <c r="C15" s="7" t="s">
        <v>41</v>
      </c>
      <c r="D15" s="11" t="s">
        <v>44</v>
      </c>
      <c r="E15" s="13">
        <v>7.5999999999999998E-2</v>
      </c>
      <c r="F15" s="8">
        <f>INDEX(Thresholds!$C$6:$C$9,MATCH(A15,Thresholds!$A$6:$A$9,0))</f>
        <v>1.6666666666666666E-2</v>
      </c>
      <c r="G15" s="7" t="str">
        <f t="shared" si="0"/>
        <v>No</v>
      </c>
      <c r="H15" s="7" t="str">
        <f>IF(E15&lt;Thresholds!$B$3,"Yes","No")</f>
        <v>No</v>
      </c>
    </row>
    <row r="16" spans="1:8" x14ac:dyDescent="0.25">
      <c r="A16" s="7" t="s">
        <v>11</v>
      </c>
      <c r="B16" s="7" t="s">
        <v>34</v>
      </c>
      <c r="C16" s="7" t="s">
        <v>45</v>
      </c>
      <c r="D16" s="11" t="s">
        <v>46</v>
      </c>
      <c r="E16" s="13">
        <v>5.2999999999999999E-2</v>
      </c>
      <c r="F16" s="8">
        <f>INDEX(Thresholds!$C$6:$C$9,MATCH(A16,Thresholds!$A$6:$A$9,0))</f>
        <v>1.2500000000000001E-2</v>
      </c>
      <c r="G16" s="7" t="str">
        <f t="shared" si="0"/>
        <v>No</v>
      </c>
      <c r="H16" s="7" t="str">
        <f>IF(E16&lt;Thresholds!$B$3,"Yes","No")</f>
        <v>No</v>
      </c>
    </row>
    <row r="17" spans="1:8" x14ac:dyDescent="0.25">
      <c r="A17" s="7" t="s">
        <v>11</v>
      </c>
      <c r="B17" s="7" t="s">
        <v>36</v>
      </c>
      <c r="C17" s="7" t="s">
        <v>45</v>
      </c>
      <c r="D17" s="11" t="s">
        <v>47</v>
      </c>
      <c r="E17" s="13">
        <v>4.2999999999999997E-2</v>
      </c>
      <c r="F17" s="8">
        <f>INDEX(Thresholds!$C$6:$C$9,MATCH(A17,Thresholds!$A$6:$A$9,0))</f>
        <v>1.2500000000000001E-2</v>
      </c>
      <c r="G17" s="7" t="str">
        <f t="shared" si="0"/>
        <v>No</v>
      </c>
      <c r="H17" s="7" t="str">
        <f>IF(E17&lt;Thresholds!$B$3,"Yes","No")</f>
        <v>Yes</v>
      </c>
    </row>
    <row r="18" spans="1:8" x14ac:dyDescent="0.25">
      <c r="A18" s="7" t="s">
        <v>11</v>
      </c>
      <c r="B18" s="7" t="s">
        <v>38</v>
      </c>
      <c r="C18" s="7" t="s">
        <v>45</v>
      </c>
      <c r="D18" s="11" t="s">
        <v>28</v>
      </c>
      <c r="E18" s="13">
        <v>1E-3</v>
      </c>
      <c r="F18" s="8">
        <f>INDEX(Thresholds!$C$6:$C$9,MATCH(A18,Thresholds!$A$6:$A$9,0))</f>
        <v>1.2500000000000001E-2</v>
      </c>
      <c r="G18" s="7" t="str">
        <f t="shared" si="0"/>
        <v>Yes</v>
      </c>
      <c r="H18" s="7" t="str">
        <f>IF(E18&lt;Thresholds!$B$3,"Yes","No")</f>
        <v>Yes</v>
      </c>
    </row>
    <row r="19" spans="1:8" x14ac:dyDescent="0.25">
      <c r="A19" s="7" t="s">
        <v>11</v>
      </c>
      <c r="B19" s="7" t="s">
        <v>39</v>
      </c>
      <c r="C19" s="7" t="s">
        <v>45</v>
      </c>
      <c r="D19" s="11" t="s">
        <v>28</v>
      </c>
      <c r="E19" s="13">
        <v>1E-3</v>
      </c>
      <c r="F19" s="8">
        <f>INDEX(Thresholds!$C$6:$C$9,MATCH(A19,Thresholds!$A$6:$A$9,0))</f>
        <v>1.2500000000000001E-2</v>
      </c>
      <c r="G19" s="7" t="str">
        <f t="shared" si="0"/>
        <v>Yes</v>
      </c>
      <c r="H19" s="7" t="str">
        <f>IF(E19&lt;Thresholds!$B$3,"Yes","No")</f>
        <v>Yes</v>
      </c>
    </row>
    <row r="21" spans="1:8" x14ac:dyDescent="0.25">
      <c r="A21" s="5"/>
    </row>
  </sheetData>
  <mergeCells count="1">
    <mergeCell ref="A2:H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Thresholds</vt:lpstr>
      <vt:lpstr>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Haidy Elmesiry (PGR)</cp:lastModifiedBy>
  <cp:revision>0</cp:revision>
  <dcterms:created xsi:type="dcterms:W3CDTF">2026-10-15T02:20:00Z</dcterms:created>
  <dcterms:modified xsi:type="dcterms:W3CDTF">2026-10-15T13:57:27Z</dcterms:modified>
  <dc:language>en-US</dc:language>
</cp:coreProperties>
</file>