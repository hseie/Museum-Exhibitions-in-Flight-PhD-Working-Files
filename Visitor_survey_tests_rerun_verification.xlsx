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c2051290_newcastle_ac_uk/Documents/NCLU/PhD/My PhD/04 Visitor Survey/Tabulated results CL/"/>
    </mc:Choice>
  </mc:AlternateContent>
  <xr:revisionPtr revIDLastSave="7" documentId="11_DD68B8D7D58D8F9003EC9721A07D0414E65AD047" xr6:coauthVersionLast="47" xr6:coauthVersionMax="47" xr10:uidLastSave="{2E2205BE-D845-43C3-8088-3A69E37D6696}"/>
  <bookViews>
    <workbookView xWindow="-120" yWindow="-120" windowWidth="29040" windowHeight="15720" tabRatio="500" xr2:uid="{00000000-000D-0000-FFFF-FFFF00000000}"/>
  </bookViews>
  <sheets>
    <sheet name="Results" sheetId="2" r:id="rId1"/>
    <sheet name="Counts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4" i="3" l="1"/>
  <c r="J22" i="3"/>
  <c r="J20" i="3"/>
  <c r="J18" i="3"/>
  <c r="J13" i="3"/>
  <c r="J11" i="3"/>
  <c r="J9" i="3"/>
  <c r="J7" i="3"/>
  <c r="J5" i="3"/>
  <c r="J3" i="3"/>
  <c r="G87" i="2"/>
  <c r="H87" i="2" s="1"/>
  <c r="H86" i="2"/>
  <c r="G86" i="2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H79" i="2"/>
  <c r="G79" i="2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H59" i="2"/>
  <c r="G59" i="2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H49" i="2"/>
  <c r="G49" i="2"/>
  <c r="H48" i="2"/>
  <c r="G48" i="2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H39" i="2"/>
  <c r="G39" i="2"/>
  <c r="H38" i="2"/>
  <c r="G38" i="2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H29" i="2"/>
  <c r="G29" i="2"/>
  <c r="G28" i="2"/>
  <c r="H28" i="2" s="1"/>
  <c r="G27" i="2"/>
  <c r="H27" i="2" s="1"/>
  <c r="H26" i="2"/>
  <c r="G26" i="2"/>
  <c r="G25" i="2"/>
  <c r="H25" i="2" s="1"/>
  <c r="G24" i="2"/>
  <c r="H24" i="2" s="1"/>
  <c r="G23" i="2"/>
  <c r="H23" i="2" s="1"/>
  <c r="G22" i="2"/>
  <c r="H22" i="2" s="1"/>
  <c r="G21" i="2"/>
  <c r="H21" i="2" s="1"/>
  <c r="H20" i="2"/>
  <c r="G20" i="2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H9" i="2"/>
  <c r="G9" i="2"/>
  <c r="G8" i="2"/>
  <c r="H8" i="2" s="1"/>
  <c r="G7" i="2"/>
  <c r="H7" i="2" s="1"/>
  <c r="G6" i="2"/>
  <c r="H6" i="2" s="1"/>
  <c r="H5" i="2"/>
  <c r="G5" i="2"/>
  <c r="G4" i="2"/>
  <c r="H4" i="2" s="1"/>
  <c r="G3" i="2"/>
  <c r="H3" i="2" s="1"/>
  <c r="G2" i="2"/>
  <c r="H2" i="2" s="1"/>
  <c r="B90" i="2" l="1"/>
  <c r="B89" i="2"/>
</calcChain>
</file>

<file path=xl/sharedStrings.xml><?xml version="1.0" encoding="utf-8"?>
<sst xmlns="http://schemas.openxmlformats.org/spreadsheetml/2006/main" count="342" uniqueCount="72">
  <si>
    <t>Test</t>
  </si>
  <si>
    <t>Question / pair</t>
  </si>
  <si>
    <t>Statistic</t>
  </si>
  <si>
    <t>Value in appendix</t>
  </si>
  <si>
    <t>Re-run value (full precision)</t>
  </si>
  <si>
    <t>Decimal places shown</t>
  </si>
  <si>
    <t>Re-run, rounded</t>
  </si>
  <si>
    <t>Match?</t>
  </si>
  <si>
    <t>Binomial</t>
  </si>
  <si>
    <t>Q3</t>
  </si>
  <si>
    <t>n</t>
  </si>
  <si>
    <t>Chose suspended</t>
  </si>
  <si>
    <t>% suspended</t>
  </si>
  <si>
    <t>p</t>
  </si>
  <si>
    <t>&lt; 0.001</t>
  </si>
  <si>
    <t>Q4</t>
  </si>
  <si>
    <t>Q7</t>
  </si>
  <si>
    <t>Q9</t>
  </si>
  <si>
    <t>Spearman</t>
  </si>
  <si>
    <t>rho</t>
  </si>
  <si>
    <t>McNemar</t>
  </si>
  <si>
    <t>S1 v S4</t>
  </si>
  <si>
    <t>Positive for both</t>
  </si>
  <si>
    <t>First only</t>
  </si>
  <si>
    <t>Second only</t>
  </si>
  <si>
    <t>Neither</t>
  </si>
  <si>
    <t>% positive (first)</t>
  </si>
  <si>
    <t>% positive (second)</t>
  </si>
  <si>
    <t>Chi-square (continuity corrected)</t>
  </si>
  <si>
    <t>Exact p (not in appendix; for reference)</t>
  </si>
  <si>
    <t>–</t>
  </si>
  <si>
    <t>S3 v S2</t>
  </si>
  <si>
    <t>S5 v S6</t>
  </si>
  <si>
    <t>First-place chi-square (supplementary)</t>
  </si>
  <si>
    <t>% suspended: dynamic first</t>
  </si>
  <si>
    <t>n: dynamic first</t>
  </si>
  <si>
    <t>% suspended: all others</t>
  </si>
  <si>
    <t>n: all others</t>
  </si>
  <si>
    <t>Chi-square</t>
  </si>
  <si>
    <t>phi</t>
  </si>
  <si>
    <t>Matches</t>
  </si>
  <si>
    <t>Differs</t>
  </si>
  <si>
    <t>Note: "&lt; 0.001" in the appendix counts as a match when the re-run p is below 0.001. A p-value reported to fewer decimals (e.g. 0.08 for 0.076) is compared at the decimals shown in column G.</t>
  </si>
  <si>
    <t>Table A6 – feeling responses by scenario</t>
  </si>
  <si>
    <t>Scenario</t>
  </si>
  <si>
    <t>Source</t>
  </si>
  <si>
    <t>Exciting</t>
  </si>
  <si>
    <t>Engaging</t>
  </si>
  <si>
    <t>Admiration</t>
  </si>
  <si>
    <t>Distant</t>
  </si>
  <si>
    <t>Boring</t>
  </si>
  <si>
    <t>Unsettling</t>
  </si>
  <si>
    <t>All match?</t>
  </si>
  <si>
    <t>S1</t>
  </si>
  <si>
    <t>Appendix</t>
  </si>
  <si>
    <t>Re-run</t>
  </si>
  <si>
    <t>S2</t>
  </si>
  <si>
    <t>S3</t>
  </si>
  <si>
    <t>S4</t>
  </si>
  <si>
    <t>S5</t>
  </si>
  <si>
    <t>S6</t>
  </si>
  <si>
    <t>Table A7 – Q11 ranking</t>
  </si>
  <si>
    <t>Option</t>
  </si>
  <si>
    <t>1st</t>
  </si>
  <si>
    <t>2nd</t>
  </si>
  <si>
    <t>3rd</t>
  </si>
  <si>
    <t>4th</t>
  </si>
  <si>
    <t>Mean rank</t>
  </si>
  <si>
    <t>Dynamic display</t>
  </si>
  <si>
    <t>See inside</t>
  </si>
  <si>
    <t>Up-close on ground</t>
  </si>
  <si>
    <t>Higher viewpoint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</si>
</sst>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1"/>
      <name val="0"/>
      <charset val="1"/>
    </font>
    <font>
      <sz val="11"/>
      <name val="0.0"/>
      <charset val="1"/>
    </font>
    <font>
      <sz val="11"/>
      <name val="0.00"/>
      <charset val="1"/>
    </font>
    <font>
      <sz val="11"/>
      <name val="0.000"/>
      <charset val="1"/>
    </font>
    <font>
      <i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A5A78"/>
        <bgColor rgb="FF3333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1" fontId="4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0" xfId="0" applyFont="1"/>
    <xf numFmtId="0" fontId="2" fillId="0" borderId="0" xfId="0" applyFont="1"/>
    <xf numFmtId="2" fontId="1" fillId="0" borderId="1" xfId="0" applyNumberFormat="1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6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3A5A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2"/>
  <sheetViews>
    <sheetView tabSelected="1" zoomScaleNormal="100" workbookViewId="0">
      <pane ySplit="1" topLeftCell="A75" activePane="bottomLeft" state="frozen"/>
      <selection pane="bottomLeft" activeCell="L14" sqref="L14"/>
    </sheetView>
  </sheetViews>
  <sheetFormatPr defaultColWidth="8.7109375" defaultRowHeight="15"/>
  <cols>
    <col min="1" max="1" width="30" customWidth="1"/>
    <col min="2" max="2" width="10" customWidth="1"/>
    <col min="3" max="3" width="32" customWidth="1"/>
    <col min="4" max="4" width="14" customWidth="1"/>
    <col min="5" max="5" width="18" customWidth="1"/>
    <col min="6" max="6" width="10" customWidth="1"/>
    <col min="7" max="7" width="12" customWidth="1"/>
    <col min="8" max="8" width="10" customWidth="1"/>
  </cols>
  <sheetData>
    <row r="1" spans="1:8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227</v>
      </c>
      <c r="E2" s="3">
        <v>227</v>
      </c>
      <c r="F2" s="4">
        <v>0</v>
      </c>
      <c r="G2" s="5">
        <f t="shared" ref="G2:G33" si="0">ROUND(E2,F2)</f>
        <v>227</v>
      </c>
      <c r="H2" s="2" t="str">
        <f t="shared" ref="H2:H33" si="1">IF(D2="–","n/a",IF(ISNUMBER(D2),IF(G2=D2,"Match","Differs"),IF(E2&lt;0.001,"Match","Differs")))</f>
        <v>Match</v>
      </c>
    </row>
    <row r="3" spans="1:8">
      <c r="A3" s="2" t="s">
        <v>8</v>
      </c>
      <c r="B3" s="2" t="s">
        <v>9</v>
      </c>
      <c r="C3" s="2" t="s">
        <v>11</v>
      </c>
      <c r="D3" s="2">
        <v>179</v>
      </c>
      <c r="E3" s="3">
        <v>179</v>
      </c>
      <c r="F3" s="4">
        <v>0</v>
      </c>
      <c r="G3" s="5">
        <f t="shared" si="0"/>
        <v>179</v>
      </c>
      <c r="H3" s="2" t="str">
        <f t="shared" si="1"/>
        <v>Match</v>
      </c>
    </row>
    <row r="4" spans="1:8">
      <c r="A4" s="2" t="s">
        <v>8</v>
      </c>
      <c r="B4" s="2" t="s">
        <v>9</v>
      </c>
      <c r="C4" s="2" t="s">
        <v>12</v>
      </c>
      <c r="D4" s="2">
        <v>78.900000000000006</v>
      </c>
      <c r="E4" s="3">
        <v>78.854625550660799</v>
      </c>
      <c r="F4" s="4">
        <v>1</v>
      </c>
      <c r="G4" s="6">
        <f t="shared" si="0"/>
        <v>78.900000000000006</v>
      </c>
      <c r="H4" s="2" t="str">
        <f t="shared" si="1"/>
        <v>Match</v>
      </c>
    </row>
    <row r="5" spans="1:8">
      <c r="A5" s="2" t="s">
        <v>8</v>
      </c>
      <c r="B5" s="2" t="s">
        <v>9</v>
      </c>
      <c r="C5" s="2" t="s">
        <v>13</v>
      </c>
      <c r="D5" s="2" t="s">
        <v>14</v>
      </c>
      <c r="E5" s="7">
        <v>5.8767131554831897E-19</v>
      </c>
      <c r="F5" s="4">
        <v>2</v>
      </c>
      <c r="G5" s="8">
        <f t="shared" si="0"/>
        <v>0</v>
      </c>
      <c r="H5" s="2" t="str">
        <f t="shared" si="1"/>
        <v>Match</v>
      </c>
    </row>
    <row r="6" spans="1:8">
      <c r="A6" s="2" t="s">
        <v>8</v>
      </c>
      <c r="B6" s="2" t="s">
        <v>15</v>
      </c>
      <c r="C6" s="2" t="s">
        <v>10</v>
      </c>
      <c r="D6" s="2">
        <v>228</v>
      </c>
      <c r="E6" s="3">
        <v>228</v>
      </c>
      <c r="F6" s="4">
        <v>0</v>
      </c>
      <c r="G6" s="5">
        <f t="shared" si="0"/>
        <v>228</v>
      </c>
      <c r="H6" s="2" t="str">
        <f t="shared" si="1"/>
        <v>Match</v>
      </c>
    </row>
    <row r="7" spans="1:8">
      <c r="A7" s="2" t="s">
        <v>8</v>
      </c>
      <c r="B7" s="2" t="s">
        <v>15</v>
      </c>
      <c r="C7" s="2" t="s">
        <v>11</v>
      </c>
      <c r="D7" s="2">
        <v>187</v>
      </c>
      <c r="E7" s="3">
        <v>187</v>
      </c>
      <c r="F7" s="4">
        <v>0</v>
      </c>
      <c r="G7" s="5">
        <f t="shared" si="0"/>
        <v>187</v>
      </c>
      <c r="H7" s="2" t="str">
        <f t="shared" si="1"/>
        <v>Match</v>
      </c>
    </row>
    <row r="8" spans="1:8">
      <c r="A8" s="2" t="s">
        <v>8</v>
      </c>
      <c r="B8" s="2" t="s">
        <v>15</v>
      </c>
      <c r="C8" s="2" t="s">
        <v>12</v>
      </c>
      <c r="D8" s="2">
        <v>82</v>
      </c>
      <c r="E8" s="3">
        <v>82.017543859649095</v>
      </c>
      <c r="F8" s="4">
        <v>1</v>
      </c>
      <c r="G8" s="6">
        <f t="shared" si="0"/>
        <v>82</v>
      </c>
      <c r="H8" s="2" t="str">
        <f t="shared" si="1"/>
        <v>Match</v>
      </c>
    </row>
    <row r="9" spans="1:8">
      <c r="A9" s="2" t="s">
        <v>8</v>
      </c>
      <c r="B9" s="2" t="s">
        <v>15</v>
      </c>
      <c r="C9" s="2" t="s">
        <v>13</v>
      </c>
      <c r="D9" s="2" t="s">
        <v>14</v>
      </c>
      <c r="E9" s="7">
        <v>1.81689961489052E-23</v>
      </c>
      <c r="F9" s="4">
        <v>2</v>
      </c>
      <c r="G9" s="8">
        <f t="shared" si="0"/>
        <v>0</v>
      </c>
      <c r="H9" s="2" t="str">
        <f t="shared" si="1"/>
        <v>Match</v>
      </c>
    </row>
    <row r="10" spans="1:8">
      <c r="A10" s="2" t="s">
        <v>8</v>
      </c>
      <c r="B10" s="2" t="s">
        <v>16</v>
      </c>
      <c r="C10" s="2" t="s">
        <v>10</v>
      </c>
      <c r="D10" s="2">
        <v>228</v>
      </c>
      <c r="E10" s="3">
        <v>228</v>
      </c>
      <c r="F10" s="4">
        <v>0</v>
      </c>
      <c r="G10" s="5">
        <f t="shared" si="0"/>
        <v>228</v>
      </c>
      <c r="H10" s="2" t="str">
        <f t="shared" si="1"/>
        <v>Match</v>
      </c>
    </row>
    <row r="11" spans="1:8">
      <c r="A11" s="2" t="s">
        <v>8</v>
      </c>
      <c r="B11" s="2" t="s">
        <v>16</v>
      </c>
      <c r="C11" s="2" t="s">
        <v>11</v>
      </c>
      <c r="D11" s="2">
        <v>123</v>
      </c>
      <c r="E11" s="3">
        <v>123</v>
      </c>
      <c r="F11" s="4">
        <v>0</v>
      </c>
      <c r="G11" s="5">
        <f t="shared" si="0"/>
        <v>123</v>
      </c>
      <c r="H11" s="2" t="str">
        <f t="shared" si="1"/>
        <v>Match</v>
      </c>
    </row>
    <row r="12" spans="1:8">
      <c r="A12" s="2" t="s">
        <v>8</v>
      </c>
      <c r="B12" s="2" t="s">
        <v>16</v>
      </c>
      <c r="C12" s="2" t="s">
        <v>12</v>
      </c>
      <c r="D12" s="2">
        <v>53.9</v>
      </c>
      <c r="E12" s="3">
        <v>53.947368421052602</v>
      </c>
      <c r="F12" s="4">
        <v>1</v>
      </c>
      <c r="G12" s="6">
        <f t="shared" si="0"/>
        <v>53.9</v>
      </c>
      <c r="H12" s="2" t="str">
        <f t="shared" si="1"/>
        <v>Match</v>
      </c>
    </row>
    <row r="13" spans="1:8">
      <c r="A13" s="2" t="s">
        <v>8</v>
      </c>
      <c r="B13" s="2" t="s">
        <v>16</v>
      </c>
      <c r="C13" s="2" t="s">
        <v>13</v>
      </c>
      <c r="D13" s="2">
        <v>0.26</v>
      </c>
      <c r="E13" s="3">
        <v>0.26018223025239601</v>
      </c>
      <c r="F13" s="4">
        <v>2</v>
      </c>
      <c r="G13" s="8">
        <f t="shared" si="0"/>
        <v>0.26</v>
      </c>
      <c r="H13" s="2" t="str">
        <f t="shared" si="1"/>
        <v>Match</v>
      </c>
    </row>
    <row r="14" spans="1:8">
      <c r="A14" s="2" t="s">
        <v>8</v>
      </c>
      <c r="B14" s="2" t="s">
        <v>17</v>
      </c>
      <c r="C14" s="2" t="s">
        <v>10</v>
      </c>
      <c r="D14" s="2">
        <v>228</v>
      </c>
      <c r="E14" s="3">
        <v>228</v>
      </c>
      <c r="F14" s="4">
        <v>0</v>
      </c>
      <c r="G14" s="5">
        <f t="shared" si="0"/>
        <v>228</v>
      </c>
      <c r="H14" s="2" t="str">
        <f t="shared" si="1"/>
        <v>Match</v>
      </c>
    </row>
    <row r="15" spans="1:8">
      <c r="A15" s="2" t="s">
        <v>8</v>
      </c>
      <c r="B15" s="2" t="s">
        <v>17</v>
      </c>
      <c r="C15" s="2" t="s">
        <v>11</v>
      </c>
      <c r="D15" s="2">
        <v>124</v>
      </c>
      <c r="E15" s="3">
        <v>124</v>
      </c>
      <c r="F15" s="4">
        <v>0</v>
      </c>
      <c r="G15" s="5">
        <f t="shared" si="0"/>
        <v>124</v>
      </c>
      <c r="H15" s="2" t="str">
        <f t="shared" si="1"/>
        <v>Match</v>
      </c>
    </row>
    <row r="16" spans="1:8">
      <c r="A16" s="2" t="s">
        <v>8</v>
      </c>
      <c r="B16" s="2" t="s">
        <v>17</v>
      </c>
      <c r="C16" s="2" t="s">
        <v>12</v>
      </c>
      <c r="D16" s="2">
        <v>54.4</v>
      </c>
      <c r="E16" s="3">
        <v>54.385964912280699</v>
      </c>
      <c r="F16" s="4">
        <v>1</v>
      </c>
      <c r="G16" s="6">
        <f t="shared" si="0"/>
        <v>54.4</v>
      </c>
      <c r="H16" s="2" t="str">
        <f t="shared" si="1"/>
        <v>Match</v>
      </c>
    </row>
    <row r="17" spans="1:8">
      <c r="A17" s="2" t="s">
        <v>8</v>
      </c>
      <c r="B17" s="2" t="s">
        <v>17</v>
      </c>
      <c r="C17" s="2" t="s">
        <v>13</v>
      </c>
      <c r="D17" s="2">
        <v>0.21</v>
      </c>
      <c r="E17" s="3">
        <v>0.20818489418414499</v>
      </c>
      <c r="F17" s="4">
        <v>2</v>
      </c>
      <c r="G17" s="8">
        <f t="shared" si="0"/>
        <v>0.21</v>
      </c>
      <c r="H17" s="2" t="str">
        <f t="shared" si="1"/>
        <v>Match</v>
      </c>
    </row>
    <row r="18" spans="1:8">
      <c r="A18" s="2" t="s">
        <v>18</v>
      </c>
      <c r="B18" s="2" t="s">
        <v>9</v>
      </c>
      <c r="C18" s="2" t="s">
        <v>10</v>
      </c>
      <c r="D18" s="2">
        <v>218</v>
      </c>
      <c r="E18" s="3">
        <v>218</v>
      </c>
      <c r="F18" s="4">
        <v>0</v>
      </c>
      <c r="G18" s="5">
        <f t="shared" si="0"/>
        <v>218</v>
      </c>
      <c r="H18" s="2" t="str">
        <f t="shared" si="1"/>
        <v>Match</v>
      </c>
    </row>
    <row r="19" spans="1:8">
      <c r="A19" s="2" t="s">
        <v>18</v>
      </c>
      <c r="B19" s="2" t="s">
        <v>9</v>
      </c>
      <c r="C19" s="2" t="s">
        <v>19</v>
      </c>
      <c r="D19" s="2">
        <v>-0.26</v>
      </c>
      <c r="E19" s="3">
        <v>-0.25453944071415802</v>
      </c>
      <c r="F19" s="4">
        <v>2</v>
      </c>
      <c r="G19" s="8">
        <f t="shared" si="0"/>
        <v>-0.25</v>
      </c>
      <c r="H19" s="2" t="str">
        <f t="shared" si="1"/>
        <v>Differs</v>
      </c>
    </row>
    <row r="20" spans="1:8">
      <c r="A20" s="2" t="s">
        <v>18</v>
      </c>
      <c r="B20" s="2" t="s">
        <v>9</v>
      </c>
      <c r="C20" s="2" t="s">
        <v>13</v>
      </c>
      <c r="D20" s="2" t="s">
        <v>14</v>
      </c>
      <c r="E20" s="7">
        <v>1.45050622025533E-4</v>
      </c>
      <c r="F20" s="4">
        <v>3</v>
      </c>
      <c r="G20" s="9">
        <f t="shared" si="0"/>
        <v>0</v>
      </c>
      <c r="H20" s="2" t="str">
        <f t="shared" si="1"/>
        <v>Match</v>
      </c>
    </row>
    <row r="21" spans="1:8">
      <c r="A21" s="2" t="s">
        <v>18</v>
      </c>
      <c r="B21" s="2" t="s">
        <v>15</v>
      </c>
      <c r="C21" s="2" t="s">
        <v>10</v>
      </c>
      <c r="D21" s="2">
        <v>219</v>
      </c>
      <c r="E21" s="3">
        <v>219</v>
      </c>
      <c r="F21" s="4">
        <v>0</v>
      </c>
      <c r="G21" s="5">
        <f t="shared" si="0"/>
        <v>219</v>
      </c>
      <c r="H21" s="2" t="str">
        <f t="shared" si="1"/>
        <v>Match</v>
      </c>
    </row>
    <row r="22" spans="1:8">
      <c r="A22" s="2" t="s">
        <v>18</v>
      </c>
      <c r="B22" s="2" t="s">
        <v>15</v>
      </c>
      <c r="C22" s="2" t="s">
        <v>19</v>
      </c>
      <c r="D22" s="2">
        <v>-0.21</v>
      </c>
      <c r="E22" s="3">
        <v>-0.20480625067278699</v>
      </c>
      <c r="F22" s="4">
        <v>2</v>
      </c>
      <c r="G22" s="8">
        <f t="shared" si="0"/>
        <v>-0.2</v>
      </c>
      <c r="H22" s="2" t="str">
        <f t="shared" si="1"/>
        <v>Differs</v>
      </c>
    </row>
    <row r="23" spans="1:8">
      <c r="A23" s="2" t="s">
        <v>18</v>
      </c>
      <c r="B23" s="2" t="s">
        <v>15</v>
      </c>
      <c r="C23" s="2" t="s">
        <v>13</v>
      </c>
      <c r="D23" s="2">
        <v>2E-3</v>
      </c>
      <c r="E23" s="3">
        <v>2.3201349048976002E-3</v>
      </c>
      <c r="F23" s="4">
        <v>3</v>
      </c>
      <c r="G23" s="9">
        <f t="shared" si="0"/>
        <v>2E-3</v>
      </c>
      <c r="H23" s="2" t="str">
        <f t="shared" si="1"/>
        <v>Match</v>
      </c>
    </row>
    <row r="24" spans="1:8">
      <c r="A24" s="2" t="s">
        <v>18</v>
      </c>
      <c r="B24" s="2" t="s">
        <v>16</v>
      </c>
      <c r="C24" s="2" t="s">
        <v>10</v>
      </c>
      <c r="D24" s="2">
        <v>219</v>
      </c>
      <c r="E24" s="3">
        <v>219</v>
      </c>
      <c r="F24" s="4">
        <v>0</v>
      </c>
      <c r="G24" s="5">
        <f t="shared" si="0"/>
        <v>219</v>
      </c>
      <c r="H24" s="2" t="str">
        <f t="shared" si="1"/>
        <v>Match</v>
      </c>
    </row>
    <row r="25" spans="1:8">
      <c r="A25" s="2" t="s">
        <v>18</v>
      </c>
      <c r="B25" s="2" t="s">
        <v>16</v>
      </c>
      <c r="C25" s="2" t="s">
        <v>19</v>
      </c>
      <c r="D25" s="2">
        <v>-0.35</v>
      </c>
      <c r="E25" s="3">
        <v>-0.35094580369254602</v>
      </c>
      <c r="F25" s="4">
        <v>2</v>
      </c>
      <c r="G25" s="8">
        <f t="shared" si="0"/>
        <v>-0.35</v>
      </c>
      <c r="H25" s="2" t="str">
        <f t="shared" si="1"/>
        <v>Match</v>
      </c>
    </row>
    <row r="26" spans="1:8">
      <c r="A26" s="2" t="s">
        <v>18</v>
      </c>
      <c r="B26" s="2" t="s">
        <v>16</v>
      </c>
      <c r="C26" s="2" t="s">
        <v>13</v>
      </c>
      <c r="D26" s="2" t="s">
        <v>14</v>
      </c>
      <c r="E26" s="7">
        <v>9.5838310977656598E-8</v>
      </c>
      <c r="F26" s="4">
        <v>3</v>
      </c>
      <c r="G26" s="9">
        <f t="shared" si="0"/>
        <v>0</v>
      </c>
      <c r="H26" s="2" t="str">
        <f t="shared" si="1"/>
        <v>Match</v>
      </c>
    </row>
    <row r="27" spans="1:8">
      <c r="A27" s="2" t="s">
        <v>18</v>
      </c>
      <c r="B27" s="2" t="s">
        <v>17</v>
      </c>
      <c r="C27" s="2" t="s">
        <v>10</v>
      </c>
      <c r="D27" s="2">
        <v>219</v>
      </c>
      <c r="E27" s="3">
        <v>219</v>
      </c>
      <c r="F27" s="4">
        <v>0</v>
      </c>
      <c r="G27" s="5">
        <f t="shared" si="0"/>
        <v>219</v>
      </c>
      <c r="H27" s="2" t="str">
        <f t="shared" si="1"/>
        <v>Match</v>
      </c>
    </row>
    <row r="28" spans="1:8">
      <c r="A28" s="2" t="s">
        <v>18</v>
      </c>
      <c r="B28" s="2" t="s">
        <v>17</v>
      </c>
      <c r="C28" s="2" t="s">
        <v>19</v>
      </c>
      <c r="D28" s="2">
        <v>-0.33</v>
      </c>
      <c r="E28" s="3">
        <v>-0.332655874103993</v>
      </c>
      <c r="F28" s="4">
        <v>2</v>
      </c>
      <c r="G28" s="8">
        <f t="shared" si="0"/>
        <v>-0.33</v>
      </c>
      <c r="H28" s="2" t="str">
        <f t="shared" si="1"/>
        <v>Match</v>
      </c>
    </row>
    <row r="29" spans="1:8">
      <c r="A29" s="2" t="s">
        <v>18</v>
      </c>
      <c r="B29" s="2" t="s">
        <v>17</v>
      </c>
      <c r="C29" s="2" t="s">
        <v>13</v>
      </c>
      <c r="D29" s="2" t="s">
        <v>14</v>
      </c>
      <c r="E29" s="7">
        <v>4.6814417881789202E-7</v>
      </c>
      <c r="F29" s="4">
        <v>3</v>
      </c>
      <c r="G29" s="9">
        <f t="shared" si="0"/>
        <v>0</v>
      </c>
      <c r="H29" s="2" t="str">
        <f t="shared" si="1"/>
        <v>Match</v>
      </c>
    </row>
    <row r="30" spans="1:8">
      <c r="A30" s="2" t="s">
        <v>20</v>
      </c>
      <c r="B30" s="2" t="s">
        <v>21</v>
      </c>
      <c r="C30" s="2" t="s">
        <v>10</v>
      </c>
      <c r="D30" s="2">
        <v>227</v>
      </c>
      <c r="E30" s="3">
        <v>227</v>
      </c>
      <c r="F30" s="4">
        <v>0</v>
      </c>
      <c r="G30" s="5">
        <f t="shared" si="0"/>
        <v>227</v>
      </c>
      <c r="H30" s="2" t="str">
        <f t="shared" si="1"/>
        <v>Match</v>
      </c>
    </row>
    <row r="31" spans="1:8">
      <c r="A31" s="2" t="s">
        <v>20</v>
      </c>
      <c r="B31" s="2" t="s">
        <v>21</v>
      </c>
      <c r="C31" s="2" t="s">
        <v>22</v>
      </c>
      <c r="D31" s="2">
        <v>64</v>
      </c>
      <c r="E31" s="3">
        <v>64</v>
      </c>
      <c r="F31" s="4">
        <v>0</v>
      </c>
      <c r="G31" s="5">
        <f t="shared" si="0"/>
        <v>64</v>
      </c>
      <c r="H31" s="2" t="str">
        <f t="shared" si="1"/>
        <v>Match</v>
      </c>
    </row>
    <row r="32" spans="1:8">
      <c r="A32" s="2" t="s">
        <v>20</v>
      </c>
      <c r="B32" s="2" t="s">
        <v>21</v>
      </c>
      <c r="C32" s="2" t="s">
        <v>23</v>
      </c>
      <c r="D32" s="2">
        <v>115</v>
      </c>
      <c r="E32" s="3">
        <v>115</v>
      </c>
      <c r="F32" s="4">
        <v>0</v>
      </c>
      <c r="G32" s="5">
        <f t="shared" si="0"/>
        <v>115</v>
      </c>
      <c r="H32" s="2" t="str">
        <f t="shared" si="1"/>
        <v>Match</v>
      </c>
    </row>
    <row r="33" spans="1:8">
      <c r="A33" s="2" t="s">
        <v>20</v>
      </c>
      <c r="B33" s="2" t="s">
        <v>21</v>
      </c>
      <c r="C33" s="2" t="s">
        <v>24</v>
      </c>
      <c r="D33" s="2">
        <v>12</v>
      </c>
      <c r="E33" s="3">
        <v>12</v>
      </c>
      <c r="F33" s="4">
        <v>0</v>
      </c>
      <c r="G33" s="5">
        <f t="shared" si="0"/>
        <v>12</v>
      </c>
      <c r="H33" s="2" t="str">
        <f t="shared" si="1"/>
        <v>Match</v>
      </c>
    </row>
    <row r="34" spans="1:8">
      <c r="A34" s="2" t="s">
        <v>20</v>
      </c>
      <c r="B34" s="2" t="s">
        <v>21</v>
      </c>
      <c r="C34" s="2" t="s">
        <v>25</v>
      </c>
      <c r="D34" s="2">
        <v>36</v>
      </c>
      <c r="E34" s="3">
        <v>36</v>
      </c>
      <c r="F34" s="4">
        <v>0</v>
      </c>
      <c r="G34" s="5">
        <f t="shared" ref="G34:G65" si="2">ROUND(E34,F34)</f>
        <v>36</v>
      </c>
      <c r="H34" s="2" t="str">
        <f t="shared" ref="H34:H65" si="3">IF(D34="–","n/a",IF(ISNUMBER(D34),IF(G34=D34,"Match","Differs"),IF(E34&lt;0.001,"Match","Differs")))</f>
        <v>Match</v>
      </c>
    </row>
    <row r="35" spans="1:8">
      <c r="A35" s="2" t="s">
        <v>20</v>
      </c>
      <c r="B35" s="2" t="s">
        <v>21</v>
      </c>
      <c r="C35" s="2" t="s">
        <v>26</v>
      </c>
      <c r="D35" s="2">
        <v>78.900000000000006</v>
      </c>
      <c r="E35" s="3">
        <v>78.900000000000006</v>
      </c>
      <c r="F35" s="4">
        <v>1</v>
      </c>
      <c r="G35" s="6">
        <f t="shared" si="2"/>
        <v>78.900000000000006</v>
      </c>
      <c r="H35" s="2" t="str">
        <f t="shared" si="3"/>
        <v>Match</v>
      </c>
    </row>
    <row r="36" spans="1:8">
      <c r="A36" s="2" t="s">
        <v>20</v>
      </c>
      <c r="B36" s="2" t="s">
        <v>21</v>
      </c>
      <c r="C36" s="2" t="s">
        <v>27</v>
      </c>
      <c r="D36" s="2">
        <v>33.5</v>
      </c>
      <c r="E36" s="3">
        <v>33.5</v>
      </c>
      <c r="F36" s="4">
        <v>1</v>
      </c>
      <c r="G36" s="6">
        <f t="shared" si="2"/>
        <v>33.5</v>
      </c>
      <c r="H36" s="2" t="str">
        <f t="shared" si="3"/>
        <v>Match</v>
      </c>
    </row>
    <row r="37" spans="1:8">
      <c r="A37" s="2" t="s">
        <v>20</v>
      </c>
      <c r="B37" s="2" t="s">
        <v>21</v>
      </c>
      <c r="C37" s="2" t="s">
        <v>28</v>
      </c>
      <c r="D37" s="2">
        <v>81.900000000000006</v>
      </c>
      <c r="E37" s="3">
        <v>81.921259842519703</v>
      </c>
      <c r="F37" s="4">
        <v>1</v>
      </c>
      <c r="G37" s="6">
        <f t="shared" si="2"/>
        <v>81.900000000000006</v>
      </c>
      <c r="H37" s="2" t="str">
        <f t="shared" si="3"/>
        <v>Match</v>
      </c>
    </row>
    <row r="38" spans="1:8">
      <c r="A38" s="2" t="s">
        <v>20</v>
      </c>
      <c r="B38" s="2" t="s">
        <v>21</v>
      </c>
      <c r="C38" s="2" t="s">
        <v>13</v>
      </c>
      <c r="D38" s="2" t="s">
        <v>14</v>
      </c>
      <c r="E38" s="7">
        <v>1.41617734105936E-19</v>
      </c>
      <c r="F38" s="4">
        <v>2</v>
      </c>
      <c r="G38" s="8">
        <f t="shared" si="2"/>
        <v>0</v>
      </c>
      <c r="H38" s="2" t="str">
        <f t="shared" si="3"/>
        <v>Match</v>
      </c>
    </row>
    <row r="39" spans="1:8" ht="25.5">
      <c r="A39" s="2" t="s">
        <v>20</v>
      </c>
      <c r="B39" s="2" t="s">
        <v>21</v>
      </c>
      <c r="C39" s="2" t="s">
        <v>29</v>
      </c>
      <c r="D39" s="2" t="s">
        <v>30</v>
      </c>
      <c r="E39" s="7">
        <v>2.8158175808425002E-22</v>
      </c>
      <c r="F39" s="4">
        <v>3</v>
      </c>
      <c r="G39" s="9">
        <f t="shared" si="2"/>
        <v>0</v>
      </c>
      <c r="H39" s="2" t="str">
        <f t="shared" si="3"/>
        <v>n/a</v>
      </c>
    </row>
    <row r="40" spans="1:8">
      <c r="A40" s="2" t="s">
        <v>20</v>
      </c>
      <c r="B40" s="2" t="s">
        <v>31</v>
      </c>
      <c r="C40" s="2" t="s">
        <v>10</v>
      </c>
      <c r="D40" s="2">
        <v>224</v>
      </c>
      <c r="E40" s="3">
        <v>224</v>
      </c>
      <c r="F40" s="4">
        <v>0</v>
      </c>
      <c r="G40" s="5">
        <f t="shared" si="2"/>
        <v>224</v>
      </c>
      <c r="H40" s="2" t="str">
        <f t="shared" si="3"/>
        <v>Match</v>
      </c>
    </row>
    <row r="41" spans="1:8">
      <c r="A41" s="2" t="s">
        <v>20</v>
      </c>
      <c r="B41" s="2" t="s">
        <v>31</v>
      </c>
      <c r="C41" s="2" t="s">
        <v>22</v>
      </c>
      <c r="D41" s="2">
        <v>101</v>
      </c>
      <c r="E41" s="3">
        <v>101</v>
      </c>
      <c r="F41" s="4">
        <v>0</v>
      </c>
      <c r="G41" s="5">
        <f t="shared" si="2"/>
        <v>101</v>
      </c>
      <c r="H41" s="2" t="str">
        <f t="shared" si="3"/>
        <v>Match</v>
      </c>
    </row>
    <row r="42" spans="1:8">
      <c r="A42" s="2" t="s">
        <v>20</v>
      </c>
      <c r="B42" s="2" t="s">
        <v>31</v>
      </c>
      <c r="C42" s="2" t="s">
        <v>23</v>
      </c>
      <c r="D42" s="2">
        <v>70</v>
      </c>
      <c r="E42" s="3">
        <v>70</v>
      </c>
      <c r="F42" s="4">
        <v>0</v>
      </c>
      <c r="G42" s="5">
        <f t="shared" si="2"/>
        <v>70</v>
      </c>
      <c r="H42" s="2" t="str">
        <f t="shared" si="3"/>
        <v>Match</v>
      </c>
    </row>
    <row r="43" spans="1:8">
      <c r="A43" s="2" t="s">
        <v>20</v>
      </c>
      <c r="B43" s="2" t="s">
        <v>31</v>
      </c>
      <c r="C43" s="2" t="s">
        <v>24</v>
      </c>
      <c r="D43" s="2">
        <v>25</v>
      </c>
      <c r="E43" s="3">
        <v>25</v>
      </c>
      <c r="F43" s="4">
        <v>0</v>
      </c>
      <c r="G43" s="5">
        <f t="shared" si="2"/>
        <v>25</v>
      </c>
      <c r="H43" s="2" t="str">
        <f t="shared" si="3"/>
        <v>Match</v>
      </c>
    </row>
    <row r="44" spans="1:8">
      <c r="A44" s="2" t="s">
        <v>20</v>
      </c>
      <c r="B44" s="2" t="s">
        <v>31</v>
      </c>
      <c r="C44" s="2" t="s">
        <v>25</v>
      </c>
      <c r="D44" s="2">
        <v>28</v>
      </c>
      <c r="E44" s="3">
        <v>28</v>
      </c>
      <c r="F44" s="4">
        <v>0</v>
      </c>
      <c r="G44" s="5">
        <f t="shared" si="2"/>
        <v>28</v>
      </c>
      <c r="H44" s="2" t="str">
        <f t="shared" si="3"/>
        <v>Match</v>
      </c>
    </row>
    <row r="45" spans="1:8">
      <c r="A45" s="2" t="s">
        <v>20</v>
      </c>
      <c r="B45" s="2" t="s">
        <v>31</v>
      </c>
      <c r="C45" s="2" t="s">
        <v>26</v>
      </c>
      <c r="D45" s="2">
        <v>76.3</v>
      </c>
      <c r="E45" s="3">
        <v>76.3</v>
      </c>
      <c r="F45" s="4">
        <v>1</v>
      </c>
      <c r="G45" s="6">
        <f t="shared" si="2"/>
        <v>76.3</v>
      </c>
      <c r="H45" s="2" t="str">
        <f t="shared" si="3"/>
        <v>Match</v>
      </c>
    </row>
    <row r="46" spans="1:8">
      <c r="A46" s="2" t="s">
        <v>20</v>
      </c>
      <c r="B46" s="2" t="s">
        <v>31</v>
      </c>
      <c r="C46" s="2" t="s">
        <v>27</v>
      </c>
      <c r="D46" s="2">
        <v>56.2</v>
      </c>
      <c r="E46" s="3">
        <v>56.2</v>
      </c>
      <c r="F46" s="4">
        <v>1</v>
      </c>
      <c r="G46" s="6">
        <f t="shared" si="2"/>
        <v>56.2</v>
      </c>
      <c r="H46" s="2" t="str">
        <f t="shared" si="3"/>
        <v>Match</v>
      </c>
    </row>
    <row r="47" spans="1:8">
      <c r="A47" s="2" t="s">
        <v>20</v>
      </c>
      <c r="B47" s="2" t="s">
        <v>31</v>
      </c>
      <c r="C47" s="2" t="s">
        <v>28</v>
      </c>
      <c r="D47" s="2">
        <v>20.399999999999999</v>
      </c>
      <c r="E47" s="3">
        <v>20.378947368421102</v>
      </c>
      <c r="F47" s="4">
        <v>1</v>
      </c>
      <c r="G47" s="6">
        <f t="shared" si="2"/>
        <v>20.399999999999999</v>
      </c>
      <c r="H47" s="2" t="str">
        <f t="shared" si="3"/>
        <v>Match</v>
      </c>
    </row>
    <row r="48" spans="1:8">
      <c r="A48" s="2" t="s">
        <v>20</v>
      </c>
      <c r="B48" s="2" t="s">
        <v>31</v>
      </c>
      <c r="C48" s="2" t="s">
        <v>13</v>
      </c>
      <c r="D48" s="2" t="s">
        <v>14</v>
      </c>
      <c r="E48" s="7">
        <v>6.3524815950722502E-6</v>
      </c>
      <c r="F48" s="4">
        <v>2</v>
      </c>
      <c r="G48" s="8">
        <f t="shared" si="2"/>
        <v>0</v>
      </c>
      <c r="H48" s="2" t="str">
        <f t="shared" si="3"/>
        <v>Match</v>
      </c>
    </row>
    <row r="49" spans="1:8" ht="25.5">
      <c r="A49" s="2" t="s">
        <v>20</v>
      </c>
      <c r="B49" s="2" t="s">
        <v>31</v>
      </c>
      <c r="C49" s="2" t="s">
        <v>29</v>
      </c>
      <c r="D49" s="2" t="s">
        <v>30</v>
      </c>
      <c r="E49" s="7">
        <v>4.27101226946337E-6</v>
      </c>
      <c r="F49" s="4">
        <v>3</v>
      </c>
      <c r="G49" s="9">
        <f t="shared" si="2"/>
        <v>0</v>
      </c>
      <c r="H49" s="2" t="str">
        <f t="shared" si="3"/>
        <v>n/a</v>
      </c>
    </row>
    <row r="50" spans="1:8">
      <c r="A50" s="2" t="s">
        <v>20</v>
      </c>
      <c r="B50" s="2" t="s">
        <v>32</v>
      </c>
      <c r="C50" s="2" t="s">
        <v>10</v>
      </c>
      <c r="D50" s="2">
        <v>227</v>
      </c>
      <c r="E50" s="3">
        <v>227</v>
      </c>
      <c r="F50" s="4">
        <v>0</v>
      </c>
      <c r="G50" s="5">
        <f t="shared" si="2"/>
        <v>227</v>
      </c>
      <c r="H50" s="2" t="str">
        <f t="shared" si="3"/>
        <v>Match</v>
      </c>
    </row>
    <row r="51" spans="1:8">
      <c r="A51" s="2" t="s">
        <v>20</v>
      </c>
      <c r="B51" s="2" t="s">
        <v>32</v>
      </c>
      <c r="C51" s="2" t="s">
        <v>22</v>
      </c>
      <c r="D51" s="2">
        <v>90</v>
      </c>
      <c r="E51" s="3">
        <v>90</v>
      </c>
      <c r="F51" s="4">
        <v>0</v>
      </c>
      <c r="G51" s="5">
        <f t="shared" si="2"/>
        <v>90</v>
      </c>
      <c r="H51" s="2" t="str">
        <f t="shared" si="3"/>
        <v>Match</v>
      </c>
    </row>
    <row r="52" spans="1:8">
      <c r="A52" s="2" t="s">
        <v>20</v>
      </c>
      <c r="B52" s="2" t="s">
        <v>32</v>
      </c>
      <c r="C52" s="2" t="s">
        <v>23</v>
      </c>
      <c r="D52" s="2">
        <v>61</v>
      </c>
      <c r="E52" s="3">
        <v>61</v>
      </c>
      <c r="F52" s="4">
        <v>0</v>
      </c>
      <c r="G52" s="5">
        <f t="shared" si="2"/>
        <v>61</v>
      </c>
      <c r="H52" s="2" t="str">
        <f t="shared" si="3"/>
        <v>Match</v>
      </c>
    </row>
    <row r="53" spans="1:8">
      <c r="A53" s="2" t="s">
        <v>20</v>
      </c>
      <c r="B53" s="2" t="s">
        <v>32</v>
      </c>
      <c r="C53" s="2" t="s">
        <v>24</v>
      </c>
      <c r="D53" s="2">
        <v>42</v>
      </c>
      <c r="E53" s="3">
        <v>42</v>
      </c>
      <c r="F53" s="4">
        <v>0</v>
      </c>
      <c r="G53" s="5">
        <f t="shared" si="2"/>
        <v>42</v>
      </c>
      <c r="H53" s="2" t="str">
        <f t="shared" si="3"/>
        <v>Match</v>
      </c>
    </row>
    <row r="54" spans="1:8">
      <c r="A54" s="2" t="s">
        <v>20</v>
      </c>
      <c r="B54" s="2" t="s">
        <v>32</v>
      </c>
      <c r="C54" s="2" t="s">
        <v>25</v>
      </c>
      <c r="D54" s="2">
        <v>34</v>
      </c>
      <c r="E54" s="3">
        <v>34</v>
      </c>
      <c r="F54" s="4">
        <v>0</v>
      </c>
      <c r="G54" s="5">
        <f t="shared" si="2"/>
        <v>34</v>
      </c>
      <c r="H54" s="2" t="str">
        <f t="shared" si="3"/>
        <v>Match</v>
      </c>
    </row>
    <row r="55" spans="1:8">
      <c r="A55" s="2" t="s">
        <v>20</v>
      </c>
      <c r="B55" s="2" t="s">
        <v>32</v>
      </c>
      <c r="C55" s="2" t="s">
        <v>26</v>
      </c>
      <c r="D55" s="2">
        <v>66.5</v>
      </c>
      <c r="E55" s="3">
        <v>66.5</v>
      </c>
      <c r="F55" s="4">
        <v>1</v>
      </c>
      <c r="G55" s="6">
        <f t="shared" si="2"/>
        <v>66.5</v>
      </c>
      <c r="H55" s="2" t="str">
        <f t="shared" si="3"/>
        <v>Match</v>
      </c>
    </row>
    <row r="56" spans="1:8">
      <c r="A56" s="2" t="s">
        <v>20</v>
      </c>
      <c r="B56" s="2" t="s">
        <v>32</v>
      </c>
      <c r="C56" s="2" t="s">
        <v>27</v>
      </c>
      <c r="D56" s="2">
        <v>58.1</v>
      </c>
      <c r="E56" s="3">
        <v>58.1</v>
      </c>
      <c r="F56" s="4">
        <v>1</v>
      </c>
      <c r="G56" s="6">
        <f t="shared" si="2"/>
        <v>58.1</v>
      </c>
      <c r="H56" s="2" t="str">
        <f t="shared" si="3"/>
        <v>Match</v>
      </c>
    </row>
    <row r="57" spans="1:8">
      <c r="A57" s="2" t="s">
        <v>20</v>
      </c>
      <c r="B57" s="2" t="s">
        <v>32</v>
      </c>
      <c r="C57" s="2" t="s">
        <v>28</v>
      </c>
      <c r="D57" s="2">
        <v>3.1</v>
      </c>
      <c r="E57" s="3">
        <v>3.1456310679611699</v>
      </c>
      <c r="F57" s="4">
        <v>1</v>
      </c>
      <c r="G57" s="6">
        <f t="shared" si="2"/>
        <v>3.1</v>
      </c>
      <c r="H57" s="2" t="str">
        <f t="shared" si="3"/>
        <v>Match</v>
      </c>
    </row>
    <row r="58" spans="1:8">
      <c r="A58" s="2" t="s">
        <v>20</v>
      </c>
      <c r="B58" s="2" t="s">
        <v>32</v>
      </c>
      <c r="C58" s="2" t="s">
        <v>13</v>
      </c>
      <c r="D58" s="2">
        <v>0.08</v>
      </c>
      <c r="E58" s="3">
        <v>7.6130545943682501E-2</v>
      </c>
      <c r="F58" s="4">
        <v>2</v>
      </c>
      <c r="G58" s="8">
        <f t="shared" si="2"/>
        <v>0.08</v>
      </c>
      <c r="H58" s="2" t="str">
        <f t="shared" si="3"/>
        <v>Match</v>
      </c>
    </row>
    <row r="59" spans="1:8" ht="25.5">
      <c r="A59" s="2" t="s">
        <v>20</v>
      </c>
      <c r="B59" s="2" t="s">
        <v>32</v>
      </c>
      <c r="C59" s="2" t="s">
        <v>29</v>
      </c>
      <c r="D59" s="2" t="s">
        <v>30</v>
      </c>
      <c r="E59" s="3">
        <v>7.5619107586258005E-2</v>
      </c>
      <c r="F59" s="4">
        <v>3</v>
      </c>
      <c r="G59" s="9">
        <f t="shared" si="2"/>
        <v>7.5999999999999998E-2</v>
      </c>
      <c r="H59" s="2" t="str">
        <f t="shared" si="3"/>
        <v>n/a</v>
      </c>
    </row>
    <row r="60" spans="1:8" ht="25.5">
      <c r="A60" s="2" t="s">
        <v>33</v>
      </c>
      <c r="B60" s="2" t="s">
        <v>9</v>
      </c>
      <c r="C60" s="2" t="s">
        <v>34</v>
      </c>
      <c r="D60" s="2">
        <v>86.1</v>
      </c>
      <c r="E60" s="3">
        <v>86.1111111111111</v>
      </c>
      <c r="F60" s="4">
        <v>1</v>
      </c>
      <c r="G60" s="6">
        <f t="shared" si="2"/>
        <v>86.1</v>
      </c>
      <c r="H60" s="2" t="str">
        <f t="shared" si="3"/>
        <v>Match</v>
      </c>
    </row>
    <row r="61" spans="1:8" ht="25.5">
      <c r="A61" s="2" t="s">
        <v>33</v>
      </c>
      <c r="B61" s="2" t="s">
        <v>9</v>
      </c>
      <c r="C61" s="2" t="s">
        <v>35</v>
      </c>
      <c r="D61" s="2">
        <v>72</v>
      </c>
      <c r="E61" s="3">
        <v>72</v>
      </c>
      <c r="F61" s="4">
        <v>0</v>
      </c>
      <c r="G61" s="5">
        <f t="shared" si="2"/>
        <v>72</v>
      </c>
      <c r="H61" s="2" t="str">
        <f t="shared" si="3"/>
        <v>Match</v>
      </c>
    </row>
    <row r="62" spans="1:8" ht="25.5">
      <c r="A62" s="2" t="s">
        <v>33</v>
      </c>
      <c r="B62" s="2" t="s">
        <v>9</v>
      </c>
      <c r="C62" s="2" t="s">
        <v>36</v>
      </c>
      <c r="D62" s="2">
        <v>74.7</v>
      </c>
      <c r="E62" s="3">
        <v>74.657534246575295</v>
      </c>
      <c r="F62" s="4">
        <v>1</v>
      </c>
      <c r="G62" s="6">
        <f t="shared" si="2"/>
        <v>74.7</v>
      </c>
      <c r="H62" s="2" t="str">
        <f t="shared" si="3"/>
        <v>Match</v>
      </c>
    </row>
    <row r="63" spans="1:8" ht="25.5">
      <c r="A63" s="2" t="s">
        <v>33</v>
      </c>
      <c r="B63" s="2" t="s">
        <v>9</v>
      </c>
      <c r="C63" s="2" t="s">
        <v>37</v>
      </c>
      <c r="D63" s="2">
        <v>146</v>
      </c>
      <c r="E63" s="3">
        <v>146</v>
      </c>
      <c r="F63" s="4">
        <v>0</v>
      </c>
      <c r="G63" s="5">
        <f t="shared" si="2"/>
        <v>146</v>
      </c>
      <c r="H63" s="2" t="str">
        <f t="shared" si="3"/>
        <v>Match</v>
      </c>
    </row>
    <row r="64" spans="1:8" ht="25.5">
      <c r="A64" s="2" t="s">
        <v>33</v>
      </c>
      <c r="B64" s="2" t="s">
        <v>9</v>
      </c>
      <c r="C64" s="2" t="s">
        <v>38</v>
      </c>
      <c r="D64" s="2">
        <v>3.74</v>
      </c>
      <c r="E64" s="3">
        <v>3.7405042015533598</v>
      </c>
      <c r="F64" s="4">
        <v>2</v>
      </c>
      <c r="G64" s="8">
        <f t="shared" si="2"/>
        <v>3.74</v>
      </c>
      <c r="H64" s="2" t="str">
        <f t="shared" si="3"/>
        <v>Match</v>
      </c>
    </row>
    <row r="65" spans="1:8" ht="25.5">
      <c r="A65" s="2" t="s">
        <v>33</v>
      </c>
      <c r="B65" s="2" t="s">
        <v>9</v>
      </c>
      <c r="C65" s="2" t="s">
        <v>13</v>
      </c>
      <c r="D65" s="2">
        <v>5.2999999999999999E-2</v>
      </c>
      <c r="E65" s="3">
        <v>5.3108417229506197E-2</v>
      </c>
      <c r="F65" s="4">
        <v>3</v>
      </c>
      <c r="G65" s="9">
        <f t="shared" si="2"/>
        <v>5.2999999999999999E-2</v>
      </c>
      <c r="H65" s="2" t="str">
        <f t="shared" si="3"/>
        <v>Match</v>
      </c>
    </row>
    <row r="66" spans="1:8" ht="25.5">
      <c r="A66" s="2" t="s">
        <v>33</v>
      </c>
      <c r="B66" s="2" t="s">
        <v>9</v>
      </c>
      <c r="C66" s="2" t="s">
        <v>39</v>
      </c>
      <c r="D66" s="2">
        <v>0.13</v>
      </c>
      <c r="E66" s="3">
        <v>0.13098960322832701</v>
      </c>
      <c r="F66" s="4">
        <v>2</v>
      </c>
      <c r="G66" s="8">
        <f t="shared" ref="G66:G97" si="4">ROUND(E66,F66)</f>
        <v>0.13</v>
      </c>
      <c r="H66" s="2" t="str">
        <f t="shared" ref="H66:H97" si="5">IF(D66="–","n/a",IF(ISNUMBER(D66),IF(G66=D66,"Match","Differs"),IF(E66&lt;0.001,"Match","Differs")))</f>
        <v>Match</v>
      </c>
    </row>
    <row r="67" spans="1:8" ht="25.5">
      <c r="A67" s="2" t="s">
        <v>33</v>
      </c>
      <c r="B67" s="2" t="s">
        <v>15</v>
      </c>
      <c r="C67" s="2" t="s">
        <v>34</v>
      </c>
      <c r="D67" s="2">
        <v>88.9</v>
      </c>
      <c r="E67" s="3">
        <v>88.8888888888889</v>
      </c>
      <c r="F67" s="4">
        <v>1</v>
      </c>
      <c r="G67" s="6">
        <f t="shared" si="4"/>
        <v>88.9</v>
      </c>
      <c r="H67" s="2" t="str">
        <f t="shared" si="5"/>
        <v>Match</v>
      </c>
    </row>
    <row r="68" spans="1:8" ht="25.5">
      <c r="A68" s="2" t="s">
        <v>33</v>
      </c>
      <c r="B68" s="2" t="s">
        <v>15</v>
      </c>
      <c r="C68" s="2" t="s">
        <v>35</v>
      </c>
      <c r="D68" s="2">
        <v>72</v>
      </c>
      <c r="E68" s="3">
        <v>72</v>
      </c>
      <c r="F68" s="4">
        <v>0</v>
      </c>
      <c r="G68" s="5">
        <f t="shared" si="4"/>
        <v>72</v>
      </c>
      <c r="H68" s="2" t="str">
        <f t="shared" si="5"/>
        <v>Match</v>
      </c>
    </row>
    <row r="69" spans="1:8" ht="25.5">
      <c r="A69" s="2" t="s">
        <v>33</v>
      </c>
      <c r="B69" s="2" t="s">
        <v>15</v>
      </c>
      <c r="C69" s="2" t="s">
        <v>36</v>
      </c>
      <c r="D69" s="2">
        <v>77.599999999999994</v>
      </c>
      <c r="E69" s="3">
        <v>77.551020408163296</v>
      </c>
      <c r="F69" s="4">
        <v>1</v>
      </c>
      <c r="G69" s="6">
        <f t="shared" si="4"/>
        <v>77.599999999999994</v>
      </c>
      <c r="H69" s="2" t="str">
        <f t="shared" si="5"/>
        <v>Match</v>
      </c>
    </row>
    <row r="70" spans="1:8" ht="25.5">
      <c r="A70" s="2" t="s">
        <v>33</v>
      </c>
      <c r="B70" s="2" t="s">
        <v>15</v>
      </c>
      <c r="C70" s="2" t="s">
        <v>37</v>
      </c>
      <c r="D70" s="2">
        <v>147</v>
      </c>
      <c r="E70" s="3">
        <v>147</v>
      </c>
      <c r="F70" s="4">
        <v>0</v>
      </c>
      <c r="G70" s="5">
        <f t="shared" si="4"/>
        <v>147</v>
      </c>
      <c r="H70" s="2" t="str">
        <f t="shared" si="5"/>
        <v>Match</v>
      </c>
    </row>
    <row r="71" spans="1:8" ht="25.5">
      <c r="A71" s="2" t="s">
        <v>33</v>
      </c>
      <c r="B71" s="2" t="s">
        <v>15</v>
      </c>
      <c r="C71" s="2" t="s">
        <v>38</v>
      </c>
      <c r="D71" s="2">
        <v>4.08</v>
      </c>
      <c r="E71" s="3">
        <v>4.0827512150379501</v>
      </c>
      <c r="F71" s="4">
        <v>2</v>
      </c>
      <c r="G71" s="8">
        <f t="shared" si="4"/>
        <v>4.08</v>
      </c>
      <c r="H71" s="2" t="str">
        <f t="shared" si="5"/>
        <v>Match</v>
      </c>
    </row>
    <row r="72" spans="1:8" ht="25.5">
      <c r="A72" s="2" t="s">
        <v>33</v>
      </c>
      <c r="B72" s="2" t="s">
        <v>15</v>
      </c>
      <c r="C72" s="2" t="s">
        <v>13</v>
      </c>
      <c r="D72" s="2">
        <v>4.2999999999999997E-2</v>
      </c>
      <c r="E72" s="3">
        <v>4.3323064157257098E-2</v>
      </c>
      <c r="F72" s="4">
        <v>3</v>
      </c>
      <c r="G72" s="9">
        <f t="shared" si="4"/>
        <v>4.2999999999999997E-2</v>
      </c>
      <c r="H72" s="2" t="str">
        <f t="shared" si="5"/>
        <v>Match</v>
      </c>
    </row>
    <row r="73" spans="1:8" ht="25.5">
      <c r="A73" s="2" t="s">
        <v>33</v>
      </c>
      <c r="B73" s="2" t="s">
        <v>15</v>
      </c>
      <c r="C73" s="2" t="s">
        <v>39</v>
      </c>
      <c r="D73" s="2">
        <v>0.14000000000000001</v>
      </c>
      <c r="E73" s="3">
        <v>0.13653827160194101</v>
      </c>
      <c r="F73" s="4">
        <v>2</v>
      </c>
      <c r="G73" s="8">
        <f t="shared" si="4"/>
        <v>0.14000000000000001</v>
      </c>
      <c r="H73" s="2" t="str">
        <f t="shared" si="5"/>
        <v>Match</v>
      </c>
    </row>
    <row r="74" spans="1:8" ht="25.5">
      <c r="A74" s="2" t="s">
        <v>33</v>
      </c>
      <c r="B74" s="2" t="s">
        <v>16</v>
      </c>
      <c r="C74" s="2" t="s">
        <v>34</v>
      </c>
      <c r="D74" s="2">
        <v>75</v>
      </c>
      <c r="E74" s="3">
        <v>75</v>
      </c>
      <c r="F74" s="4">
        <v>1</v>
      </c>
      <c r="G74" s="6">
        <f t="shared" si="4"/>
        <v>75</v>
      </c>
      <c r="H74" s="2" t="str">
        <f t="shared" si="5"/>
        <v>Match</v>
      </c>
    </row>
    <row r="75" spans="1:8" ht="25.5">
      <c r="A75" s="2" t="s">
        <v>33</v>
      </c>
      <c r="B75" s="2" t="s">
        <v>16</v>
      </c>
      <c r="C75" s="2" t="s">
        <v>35</v>
      </c>
      <c r="D75" s="2">
        <v>72</v>
      </c>
      <c r="E75" s="3">
        <v>72</v>
      </c>
      <c r="F75" s="4">
        <v>0</v>
      </c>
      <c r="G75" s="5">
        <f t="shared" si="4"/>
        <v>72</v>
      </c>
      <c r="H75" s="2" t="str">
        <f t="shared" si="5"/>
        <v>Match</v>
      </c>
    </row>
    <row r="76" spans="1:8" ht="25.5">
      <c r="A76" s="2" t="s">
        <v>33</v>
      </c>
      <c r="B76" s="2" t="s">
        <v>16</v>
      </c>
      <c r="C76" s="2" t="s">
        <v>36</v>
      </c>
      <c r="D76" s="2">
        <v>43.5</v>
      </c>
      <c r="E76" s="3">
        <v>43.5374149659864</v>
      </c>
      <c r="F76" s="4">
        <v>1</v>
      </c>
      <c r="G76" s="6">
        <f t="shared" si="4"/>
        <v>43.5</v>
      </c>
      <c r="H76" s="2" t="str">
        <f t="shared" si="5"/>
        <v>Match</v>
      </c>
    </row>
    <row r="77" spans="1:8" ht="25.5">
      <c r="A77" s="2" t="s">
        <v>33</v>
      </c>
      <c r="B77" s="2" t="s">
        <v>16</v>
      </c>
      <c r="C77" s="2" t="s">
        <v>37</v>
      </c>
      <c r="D77" s="2">
        <v>147</v>
      </c>
      <c r="E77" s="3">
        <v>147</v>
      </c>
      <c r="F77" s="4">
        <v>0</v>
      </c>
      <c r="G77" s="5">
        <f t="shared" si="4"/>
        <v>147</v>
      </c>
      <c r="H77" s="2" t="str">
        <f t="shared" si="5"/>
        <v>Match</v>
      </c>
    </row>
    <row r="78" spans="1:8" ht="25.5">
      <c r="A78" s="2" t="s">
        <v>33</v>
      </c>
      <c r="B78" s="2" t="s">
        <v>16</v>
      </c>
      <c r="C78" s="2" t="s">
        <v>38</v>
      </c>
      <c r="D78" s="2">
        <v>19.25</v>
      </c>
      <c r="E78" s="3">
        <v>19.252155888366399</v>
      </c>
      <c r="F78" s="4">
        <v>2</v>
      </c>
      <c r="G78" s="8">
        <f t="shared" si="4"/>
        <v>19.25</v>
      </c>
      <c r="H78" s="2" t="str">
        <f t="shared" si="5"/>
        <v>Match</v>
      </c>
    </row>
    <row r="79" spans="1:8" ht="25.5">
      <c r="A79" s="2" t="s">
        <v>33</v>
      </c>
      <c r="B79" s="2" t="s">
        <v>16</v>
      </c>
      <c r="C79" s="2" t="s">
        <v>13</v>
      </c>
      <c r="D79" s="2" t="s">
        <v>14</v>
      </c>
      <c r="E79" s="7">
        <v>1.1454096154887599E-5</v>
      </c>
      <c r="F79" s="4">
        <v>3</v>
      </c>
      <c r="G79" s="9">
        <f t="shared" si="4"/>
        <v>0</v>
      </c>
      <c r="H79" s="2" t="str">
        <f t="shared" si="5"/>
        <v>Match</v>
      </c>
    </row>
    <row r="80" spans="1:8" ht="25.5">
      <c r="A80" s="2" t="s">
        <v>33</v>
      </c>
      <c r="B80" s="2" t="s">
        <v>16</v>
      </c>
      <c r="C80" s="2" t="s">
        <v>39</v>
      </c>
      <c r="D80" s="2">
        <v>0.3</v>
      </c>
      <c r="E80" s="3">
        <v>0.29649517300980099</v>
      </c>
      <c r="F80" s="4">
        <v>2</v>
      </c>
      <c r="G80" s="8">
        <f t="shared" si="4"/>
        <v>0.3</v>
      </c>
      <c r="H80" s="2" t="str">
        <f t="shared" si="5"/>
        <v>Match</v>
      </c>
    </row>
    <row r="81" spans="1:8" ht="25.5">
      <c r="A81" s="2" t="s">
        <v>33</v>
      </c>
      <c r="B81" s="2" t="s">
        <v>17</v>
      </c>
      <c r="C81" s="2" t="s">
        <v>34</v>
      </c>
      <c r="D81" s="2">
        <v>73.599999999999994</v>
      </c>
      <c r="E81" s="3">
        <v>73.6111111111111</v>
      </c>
      <c r="F81" s="4">
        <v>1</v>
      </c>
      <c r="G81" s="6">
        <f t="shared" si="4"/>
        <v>73.599999999999994</v>
      </c>
      <c r="H81" s="2" t="str">
        <f t="shared" si="5"/>
        <v>Match</v>
      </c>
    </row>
    <row r="82" spans="1:8" ht="25.5">
      <c r="A82" s="2" t="s">
        <v>33</v>
      </c>
      <c r="B82" s="2" t="s">
        <v>17</v>
      </c>
      <c r="C82" s="2" t="s">
        <v>35</v>
      </c>
      <c r="D82" s="2">
        <v>72</v>
      </c>
      <c r="E82" s="3">
        <v>72</v>
      </c>
      <c r="F82" s="4">
        <v>0</v>
      </c>
      <c r="G82" s="5">
        <f t="shared" si="4"/>
        <v>72</v>
      </c>
      <c r="H82" s="2" t="str">
        <f t="shared" si="5"/>
        <v>Match</v>
      </c>
    </row>
    <row r="83" spans="1:8" ht="25.5">
      <c r="A83" s="2" t="s">
        <v>33</v>
      </c>
      <c r="B83" s="2" t="s">
        <v>17</v>
      </c>
      <c r="C83" s="2" t="s">
        <v>36</v>
      </c>
      <c r="D83" s="2">
        <v>43.5</v>
      </c>
      <c r="E83" s="3">
        <v>43.5374149659864</v>
      </c>
      <c r="F83" s="4">
        <v>1</v>
      </c>
      <c r="G83" s="6">
        <f t="shared" si="4"/>
        <v>43.5</v>
      </c>
      <c r="H83" s="2" t="str">
        <f t="shared" si="5"/>
        <v>Match</v>
      </c>
    </row>
    <row r="84" spans="1:8" ht="25.5">
      <c r="A84" s="2" t="s">
        <v>33</v>
      </c>
      <c r="B84" s="2" t="s">
        <v>17</v>
      </c>
      <c r="C84" s="2" t="s">
        <v>37</v>
      </c>
      <c r="D84" s="2">
        <v>147</v>
      </c>
      <c r="E84" s="3">
        <v>147</v>
      </c>
      <c r="F84" s="4">
        <v>0</v>
      </c>
      <c r="G84" s="5">
        <f t="shared" si="4"/>
        <v>147</v>
      </c>
      <c r="H84" s="2" t="str">
        <f t="shared" si="5"/>
        <v>Match</v>
      </c>
    </row>
    <row r="85" spans="1:8" ht="25.5">
      <c r="A85" s="2" t="s">
        <v>33</v>
      </c>
      <c r="B85" s="2" t="s">
        <v>17</v>
      </c>
      <c r="C85" s="2" t="s">
        <v>38</v>
      </c>
      <c r="D85" s="2">
        <v>17.57</v>
      </c>
      <c r="E85" s="3">
        <v>17.566349830530498</v>
      </c>
      <c r="F85" s="4">
        <v>2</v>
      </c>
      <c r="G85" s="8">
        <f t="shared" si="4"/>
        <v>17.57</v>
      </c>
      <c r="H85" s="2" t="str">
        <f t="shared" si="5"/>
        <v>Match</v>
      </c>
    </row>
    <row r="86" spans="1:8" ht="25.5">
      <c r="A86" s="2" t="s">
        <v>33</v>
      </c>
      <c r="B86" s="2" t="s">
        <v>17</v>
      </c>
      <c r="C86" s="2" t="s">
        <v>13</v>
      </c>
      <c r="D86" s="2" t="s">
        <v>14</v>
      </c>
      <c r="E86" s="7">
        <v>2.7745484448148798E-5</v>
      </c>
      <c r="F86" s="4">
        <v>3</v>
      </c>
      <c r="G86" s="9">
        <f t="shared" si="4"/>
        <v>0</v>
      </c>
      <c r="H86" s="2" t="str">
        <f t="shared" si="5"/>
        <v>Match</v>
      </c>
    </row>
    <row r="87" spans="1:8" ht="25.5">
      <c r="A87" s="2" t="s">
        <v>33</v>
      </c>
      <c r="B87" s="2" t="s">
        <v>17</v>
      </c>
      <c r="C87" s="2" t="s">
        <v>39</v>
      </c>
      <c r="D87" s="2">
        <v>0.28000000000000003</v>
      </c>
      <c r="E87" s="3">
        <v>0.28321660096432</v>
      </c>
      <c r="F87" s="4">
        <v>2</v>
      </c>
      <c r="G87" s="8">
        <f t="shared" si="4"/>
        <v>0.28000000000000003</v>
      </c>
      <c r="H87" s="2" t="str">
        <f t="shared" si="5"/>
        <v>Match</v>
      </c>
    </row>
    <row r="89" spans="1:8">
      <c r="A89" s="2" t="s">
        <v>40</v>
      </c>
      <c r="B89" s="2">
        <f>COUNTIF(H2:H87,"Match")</f>
        <v>81</v>
      </c>
    </row>
    <row r="90" spans="1:8">
      <c r="A90" s="2" t="s">
        <v>41</v>
      </c>
      <c r="B90" s="2">
        <f>COUNTIF(H2:H87,"Differs")</f>
        <v>2</v>
      </c>
    </row>
    <row r="92" spans="1:8">
      <c r="A92" s="10" t="s">
        <v>42</v>
      </c>
    </row>
  </sheetData>
  <conditionalFormatting sqref="H2:H87">
    <cfRule type="cellIs" dxfId="5" priority="2" operator="equal">
      <formula>"Differs"</formula>
    </cfRule>
    <cfRule type="cellIs" dxfId="4" priority="3" operator="equal">
      <formula>"Match"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zoomScaleNormal="100" workbookViewId="0"/>
  </sheetViews>
  <sheetFormatPr defaultColWidth="8.7109375" defaultRowHeight="15"/>
  <cols>
    <col min="1" max="1" width="20" customWidth="1"/>
    <col min="2" max="2" width="10" customWidth="1"/>
    <col min="3" max="3" width="7" customWidth="1"/>
    <col min="4" max="5" width="10" customWidth="1"/>
    <col min="6" max="6" width="11" customWidth="1"/>
    <col min="7" max="8" width="9" customWidth="1"/>
    <col min="9" max="9" width="10" customWidth="1"/>
    <col min="10" max="10" width="11" customWidth="1"/>
  </cols>
  <sheetData>
    <row r="1" spans="1:10">
      <c r="A1" s="11" t="s">
        <v>43</v>
      </c>
    </row>
    <row r="2" spans="1:10">
      <c r="A2" s="1" t="s">
        <v>44</v>
      </c>
      <c r="B2" s="1" t="s">
        <v>45</v>
      </c>
      <c r="C2" s="1" t="s">
        <v>10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</row>
    <row r="3" spans="1:10">
      <c r="A3" s="2" t="s">
        <v>53</v>
      </c>
      <c r="B3" s="2" t="s">
        <v>54</v>
      </c>
      <c r="C3" s="2">
        <v>227</v>
      </c>
      <c r="D3" s="2">
        <v>90</v>
      </c>
      <c r="E3" s="2">
        <v>89</v>
      </c>
      <c r="F3" s="2">
        <v>27</v>
      </c>
      <c r="G3" s="2">
        <v>13</v>
      </c>
      <c r="H3" s="2">
        <v>3</v>
      </c>
      <c r="I3" s="2">
        <v>5</v>
      </c>
      <c r="J3" s="2" t="str">
        <f>IF(SUMPRODUCT(--(C3:I3&lt;&gt;C4:I4))=0,"Match","Differs")</f>
        <v>Match</v>
      </c>
    </row>
    <row r="4" spans="1:10">
      <c r="A4" s="2" t="s">
        <v>53</v>
      </c>
      <c r="B4" s="2" t="s">
        <v>55</v>
      </c>
      <c r="C4" s="4">
        <v>227</v>
      </c>
      <c r="D4" s="4">
        <v>90</v>
      </c>
      <c r="E4" s="4">
        <v>89</v>
      </c>
      <c r="F4" s="4">
        <v>27</v>
      </c>
      <c r="G4" s="4">
        <v>13</v>
      </c>
      <c r="H4" s="4">
        <v>3</v>
      </c>
      <c r="I4" s="4">
        <v>5</v>
      </c>
    </row>
    <row r="5" spans="1:10">
      <c r="A5" s="2" t="s">
        <v>56</v>
      </c>
      <c r="B5" s="2" t="s">
        <v>54</v>
      </c>
      <c r="C5" s="2">
        <v>225</v>
      </c>
      <c r="D5" s="2">
        <v>44</v>
      </c>
      <c r="E5" s="2">
        <v>82</v>
      </c>
      <c r="F5" s="2">
        <v>51</v>
      </c>
      <c r="G5" s="2">
        <v>19</v>
      </c>
      <c r="H5" s="2">
        <v>27</v>
      </c>
      <c r="I5" s="2">
        <v>2</v>
      </c>
      <c r="J5" s="2" t="str">
        <f>IF(SUMPRODUCT(--(C5:I5&lt;&gt;C6:I6))=0,"Match","Differs")</f>
        <v>Match</v>
      </c>
    </row>
    <row r="6" spans="1:10">
      <c r="A6" s="2" t="s">
        <v>56</v>
      </c>
      <c r="B6" s="2" t="s">
        <v>55</v>
      </c>
      <c r="C6" s="4">
        <v>225</v>
      </c>
      <c r="D6" s="4">
        <v>44</v>
      </c>
      <c r="E6" s="4">
        <v>82</v>
      </c>
      <c r="F6" s="4">
        <v>51</v>
      </c>
      <c r="G6" s="4">
        <v>19</v>
      </c>
      <c r="H6" s="4">
        <v>27</v>
      </c>
      <c r="I6" s="4">
        <v>2</v>
      </c>
    </row>
    <row r="7" spans="1:10">
      <c r="A7" s="2" t="s">
        <v>57</v>
      </c>
      <c r="B7" s="2" t="s">
        <v>54</v>
      </c>
      <c r="C7" s="2">
        <v>227</v>
      </c>
      <c r="D7" s="2">
        <v>97</v>
      </c>
      <c r="E7" s="2">
        <v>76</v>
      </c>
      <c r="F7" s="2">
        <v>40</v>
      </c>
      <c r="G7" s="2">
        <v>9</v>
      </c>
      <c r="H7" s="2">
        <v>3</v>
      </c>
      <c r="I7" s="2">
        <v>2</v>
      </c>
      <c r="J7" s="2" t="str">
        <f>IF(SUMPRODUCT(--(C7:I7&lt;&gt;C8:I8))=0,"Match","Differs")</f>
        <v>Match</v>
      </c>
    </row>
    <row r="8" spans="1:10">
      <c r="A8" s="2" t="s">
        <v>57</v>
      </c>
      <c r="B8" s="2" t="s">
        <v>55</v>
      </c>
      <c r="C8" s="4">
        <v>227</v>
      </c>
      <c r="D8" s="4">
        <v>97</v>
      </c>
      <c r="E8" s="4">
        <v>76</v>
      </c>
      <c r="F8" s="4">
        <v>40</v>
      </c>
      <c r="G8" s="4">
        <v>9</v>
      </c>
      <c r="H8" s="4">
        <v>3</v>
      </c>
      <c r="I8" s="4">
        <v>2</v>
      </c>
    </row>
    <row r="9" spans="1:10">
      <c r="A9" s="2" t="s">
        <v>58</v>
      </c>
      <c r="B9" s="2" t="s">
        <v>54</v>
      </c>
      <c r="C9" s="2">
        <v>228</v>
      </c>
      <c r="D9" s="2">
        <v>15</v>
      </c>
      <c r="E9" s="2">
        <v>61</v>
      </c>
      <c r="F9" s="2">
        <v>50</v>
      </c>
      <c r="G9" s="2">
        <v>39</v>
      </c>
      <c r="H9" s="2">
        <v>60</v>
      </c>
      <c r="I9" s="2">
        <v>3</v>
      </c>
      <c r="J9" s="2" t="str">
        <f>IF(SUMPRODUCT(--(C9:I9&lt;&gt;C10:I10))=0,"Match","Differs")</f>
        <v>Match</v>
      </c>
    </row>
    <row r="10" spans="1:10">
      <c r="A10" s="2" t="s">
        <v>58</v>
      </c>
      <c r="B10" s="2" t="s">
        <v>55</v>
      </c>
      <c r="C10" s="4">
        <v>228</v>
      </c>
      <c r="D10" s="4">
        <v>15</v>
      </c>
      <c r="E10" s="4">
        <v>61</v>
      </c>
      <c r="F10" s="4">
        <v>50</v>
      </c>
      <c r="G10" s="4">
        <v>39</v>
      </c>
      <c r="H10" s="4">
        <v>60</v>
      </c>
      <c r="I10" s="4">
        <v>3</v>
      </c>
    </row>
    <row r="11" spans="1:10">
      <c r="A11" s="2" t="s">
        <v>59</v>
      </c>
      <c r="B11" s="2" t="s">
        <v>54</v>
      </c>
      <c r="C11" s="2">
        <v>228</v>
      </c>
      <c r="D11" s="2">
        <v>118</v>
      </c>
      <c r="E11" s="2">
        <v>34</v>
      </c>
      <c r="F11" s="2">
        <v>36</v>
      </c>
      <c r="G11" s="2">
        <v>20</v>
      </c>
      <c r="H11" s="2">
        <v>8</v>
      </c>
      <c r="I11" s="2">
        <v>12</v>
      </c>
      <c r="J11" s="2" t="str">
        <f>IF(SUMPRODUCT(--(C11:I11&lt;&gt;C12:I12))=0,"Match","Differs")</f>
        <v>Match</v>
      </c>
    </row>
    <row r="12" spans="1:10">
      <c r="A12" s="2" t="s">
        <v>59</v>
      </c>
      <c r="B12" s="2" t="s">
        <v>55</v>
      </c>
      <c r="C12" s="4">
        <v>228</v>
      </c>
      <c r="D12" s="4">
        <v>118</v>
      </c>
      <c r="E12" s="4">
        <v>34</v>
      </c>
      <c r="F12" s="4">
        <v>36</v>
      </c>
      <c r="G12" s="4">
        <v>20</v>
      </c>
      <c r="H12" s="4">
        <v>8</v>
      </c>
      <c r="I12" s="4">
        <v>12</v>
      </c>
    </row>
    <row r="13" spans="1:10">
      <c r="A13" s="2" t="s">
        <v>60</v>
      </c>
      <c r="B13" s="2" t="s">
        <v>54</v>
      </c>
      <c r="C13" s="2">
        <v>227</v>
      </c>
      <c r="D13" s="2">
        <v>52</v>
      </c>
      <c r="E13" s="2">
        <v>80</v>
      </c>
      <c r="F13" s="2">
        <v>61</v>
      </c>
      <c r="G13" s="2">
        <v>19</v>
      </c>
      <c r="H13" s="2">
        <v>15</v>
      </c>
      <c r="I13" s="2">
        <v>0</v>
      </c>
      <c r="J13" s="2" t="str">
        <f>IF(SUMPRODUCT(--(C13:I13&lt;&gt;C14:I14))=0,"Match","Differs")</f>
        <v>Match</v>
      </c>
    </row>
    <row r="14" spans="1:10">
      <c r="A14" s="2" t="s">
        <v>60</v>
      </c>
      <c r="B14" s="2" t="s">
        <v>55</v>
      </c>
      <c r="C14" s="4">
        <v>227</v>
      </c>
      <c r="D14" s="4">
        <v>52</v>
      </c>
      <c r="E14" s="4">
        <v>80</v>
      </c>
      <c r="F14" s="4">
        <v>61</v>
      </c>
      <c r="G14" s="4">
        <v>19</v>
      </c>
      <c r="H14" s="4">
        <v>15</v>
      </c>
      <c r="I14" s="4">
        <v>0</v>
      </c>
    </row>
    <row r="16" spans="1:10">
      <c r="A16" s="11" t="s">
        <v>61</v>
      </c>
    </row>
    <row r="17" spans="1:10" ht="25.5">
      <c r="A17" s="1" t="s">
        <v>62</v>
      </c>
      <c r="B17" s="1" t="s">
        <v>45</v>
      </c>
      <c r="C17" s="1" t="s">
        <v>10</v>
      </c>
      <c r="D17" s="1" t="s">
        <v>63</v>
      </c>
      <c r="E17" s="1" t="s">
        <v>64</v>
      </c>
      <c r="F17" s="1" t="s">
        <v>65</v>
      </c>
      <c r="G17" s="1" t="s">
        <v>66</v>
      </c>
      <c r="H17" s="1" t="s">
        <v>67</v>
      </c>
      <c r="I17" s="1"/>
      <c r="J17" s="1" t="s">
        <v>52</v>
      </c>
    </row>
    <row r="18" spans="1:10">
      <c r="A18" s="2" t="s">
        <v>68</v>
      </c>
      <c r="B18" s="2" t="s">
        <v>54</v>
      </c>
      <c r="C18" s="2">
        <v>219</v>
      </c>
      <c r="D18" s="2">
        <v>72</v>
      </c>
      <c r="E18" s="2">
        <v>34</v>
      </c>
      <c r="F18" s="2">
        <v>59</v>
      </c>
      <c r="G18" s="2">
        <v>54</v>
      </c>
      <c r="H18" s="12">
        <v>2.4300000000000002</v>
      </c>
      <c r="J18" s="2" t="str">
        <f>IF(SUMPRODUCT(--(C18:H18&lt;&gt;C19:H19))=0,"Match","Differs")</f>
        <v>Match</v>
      </c>
    </row>
    <row r="19" spans="1:10">
      <c r="A19" s="2" t="s">
        <v>68</v>
      </c>
      <c r="B19" s="2" t="s">
        <v>55</v>
      </c>
      <c r="C19" s="4">
        <v>219</v>
      </c>
      <c r="D19" s="4">
        <v>72</v>
      </c>
      <c r="E19" s="4">
        <v>34</v>
      </c>
      <c r="F19" s="4">
        <v>59</v>
      </c>
      <c r="G19" s="4">
        <v>54</v>
      </c>
      <c r="H19" s="13">
        <v>2.4300000000000002</v>
      </c>
    </row>
    <row r="20" spans="1:10">
      <c r="A20" s="2" t="s">
        <v>69</v>
      </c>
      <c r="B20" s="2" t="s">
        <v>54</v>
      </c>
      <c r="C20" s="2">
        <v>219</v>
      </c>
      <c r="D20" s="2">
        <v>67</v>
      </c>
      <c r="E20" s="2">
        <v>72</v>
      </c>
      <c r="F20" s="2">
        <v>39</v>
      </c>
      <c r="G20" s="2">
        <v>41</v>
      </c>
      <c r="H20" s="12">
        <v>2.25</v>
      </c>
      <c r="J20" s="2" t="str">
        <f>IF(SUMPRODUCT(--(C20:H20&lt;&gt;C21:H21))=0,"Match","Differs")</f>
        <v>Match</v>
      </c>
    </row>
    <row r="21" spans="1:10">
      <c r="A21" s="2" t="s">
        <v>69</v>
      </c>
      <c r="B21" s="2" t="s">
        <v>55</v>
      </c>
      <c r="C21" s="4">
        <v>219</v>
      </c>
      <c r="D21" s="4">
        <v>67</v>
      </c>
      <c r="E21" s="4">
        <v>72</v>
      </c>
      <c r="F21" s="4">
        <v>39</v>
      </c>
      <c r="G21" s="4">
        <v>41</v>
      </c>
      <c r="H21" s="13">
        <v>2.25</v>
      </c>
    </row>
    <row r="22" spans="1:10">
      <c r="A22" s="2" t="s">
        <v>70</v>
      </c>
      <c r="B22" s="2" t="s">
        <v>54</v>
      </c>
      <c r="C22" s="2">
        <v>219</v>
      </c>
      <c r="D22" s="2">
        <v>66</v>
      </c>
      <c r="E22" s="2">
        <v>70</v>
      </c>
      <c r="F22" s="2">
        <v>45</v>
      </c>
      <c r="G22" s="2">
        <v>38</v>
      </c>
      <c r="H22" s="12">
        <v>2.25</v>
      </c>
      <c r="J22" s="2" t="str">
        <f>IF(SUMPRODUCT(--(C22:H22&lt;&gt;C23:H23))=0,"Match","Differs")</f>
        <v>Match</v>
      </c>
    </row>
    <row r="23" spans="1:10">
      <c r="A23" s="2" t="s">
        <v>70</v>
      </c>
      <c r="B23" s="2" t="s">
        <v>55</v>
      </c>
      <c r="C23" s="4">
        <v>219</v>
      </c>
      <c r="D23" s="4">
        <v>66</v>
      </c>
      <c r="E23" s="4">
        <v>70</v>
      </c>
      <c r="F23" s="4">
        <v>45</v>
      </c>
      <c r="G23" s="4">
        <v>38</v>
      </c>
      <c r="H23" s="13">
        <v>2.25</v>
      </c>
    </row>
    <row r="24" spans="1:10">
      <c r="A24" s="2" t="s">
        <v>71</v>
      </c>
      <c r="B24" s="2" t="s">
        <v>54</v>
      </c>
      <c r="C24" s="2">
        <v>219</v>
      </c>
      <c r="D24" s="2">
        <v>14</v>
      </c>
      <c r="E24" s="2">
        <v>43</v>
      </c>
      <c r="F24" s="2">
        <v>76</v>
      </c>
      <c r="G24" s="2">
        <v>86</v>
      </c>
      <c r="H24" s="12">
        <v>3.07</v>
      </c>
      <c r="J24" s="2" t="str">
        <f>IF(SUMPRODUCT(--(C24:H24&lt;&gt;C25:H25))=0,"Match","Differs")</f>
        <v>Match</v>
      </c>
    </row>
    <row r="25" spans="1:10">
      <c r="A25" s="2" t="s">
        <v>71</v>
      </c>
      <c r="B25" s="2" t="s">
        <v>55</v>
      </c>
      <c r="C25" s="4">
        <v>219</v>
      </c>
      <c r="D25" s="4">
        <v>14</v>
      </c>
      <c r="E25" s="4">
        <v>43</v>
      </c>
      <c r="F25" s="4">
        <v>76</v>
      </c>
      <c r="G25" s="4">
        <v>86</v>
      </c>
      <c r="H25" s="13">
        <v>3.07</v>
      </c>
    </row>
  </sheetData>
  <conditionalFormatting sqref="J3:J14">
    <cfRule type="cellIs" dxfId="3" priority="2" operator="equal">
      <formula>"Differs"</formula>
    </cfRule>
    <cfRule type="cellIs" dxfId="2" priority="3" operator="equal">
      <formula>"Match"</formula>
    </cfRule>
  </conditionalFormatting>
  <conditionalFormatting sqref="J18:J26">
    <cfRule type="cellIs" dxfId="1" priority="4" operator="equal">
      <formula>"Differs"</formula>
    </cfRule>
    <cfRule type="cellIs" dxfId="0" priority="5" operator="equal">
      <formula>"Match"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Haidy Elmesiry (PGR)</cp:lastModifiedBy>
  <cp:revision>0</cp:revision>
  <dcterms:created xsi:type="dcterms:W3CDTF">2026-10-15T02:31:07Z</dcterms:created>
  <dcterms:modified xsi:type="dcterms:W3CDTF">2026-10-15T13:58:56Z</dcterms:modified>
  <dc:language>en-US</dc:language>
</cp:coreProperties>
</file>